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Vxtor"/>
  <workbookPr/>
  <bookViews>
    <workbookView activeTab="7" xWindow="240" yWindow="60" windowWidth="16380" windowHeight="8190"/>
  </bookViews>
  <sheets>
    <sheet name="0_Hướng dẫn" sheetId="1" r:id="rId4"/>
    <sheet name="0_Tình huống" sheetId="2" r:id="rId5"/>
    <sheet name="Bài 1" sheetId="3" r:id="rId6"/>
    <sheet name="Bài 2" sheetId="4" r:id="rId7"/>
    <sheet name="Bài 3" sheetId="5" r:id="rId8"/>
    <sheet name="Bài 4" sheetId="6" r:id="rId9"/>
    <sheet name="Bài 5" sheetId="7" r:id="rId10"/>
    <sheet name="Xưởng" sheetId="8" r:id="rId11"/>
    <sheet name="Thang điểm" sheetId="9" r:id="rId12"/>
    <sheet name="Tổng hợp" sheetId="10" r:id="rId13"/>
    <sheet name="_ds" sheetId="11" state="hidden" r:id="rId14"/>
  </sheets>
  <calcPr iterateDelta="0.0001"/>
  <extLst>
    <ext uri="smNativeData">
      <pm:revision xmlns:pm="smNativeData" day="1792144992" val="1234" rev="124" revOS="4" revMin="124" revMax="0"/>
      <pm:docPrefs xmlns:pm="smNativeData" id="1792144992" fixedDigits="0" showNotice="1" showFrameBounds="1" autoChart="1" recalcOnPrint="1" recalcOnCopy="1" finalRounding="1" compatTextArt="1" tab="567" useDefinedPrintRange="1" printArea="currentSheet"/>
      <pm:compatibility xmlns:pm="smNativeData" id="1792144992" overlapCells="1"/>
      <pm:defCurrency xmlns:pm="smNativeData" id="1792144992"/>
    </ext>
  </extLst>
</workbook>
</file>

<file path=xl/sharedStrings.xml><?xml version="1.0" encoding="utf-8"?>
<sst xmlns="http://schemas.openxmlformats.org/spreadsheetml/2006/main" count="882" uniqueCount="612">
  <si>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</si>
  <si>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</si>
  <si>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</si>
  <si>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</si>
  <si>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</si>
  <si>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</si>
  <si>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</si>
  <si>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</si>
  <si>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</si>
  <si>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</si>
  <si>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</si>
  <si>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</si>
  <si>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</si>
  <si>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</si>
  <si>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</si>
  <si>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</si>
  <si>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</si>
  <si>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</si>
  <si>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</si>
  <si>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</si>
  <si>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</si>
  <si>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</si>
  <si>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</si>
  <si>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</si>
  <si>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</si>
  <si>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</si>
  <si>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</si>
  <si>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</si>
  <si>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</si>
  <si>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</si>
  <si>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</si>
  <si>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</si>
  <si>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</si>
  <si>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</si>
  <si>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</si>
  <si>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</si>
  <si>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</si>
  <si>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</si>
  <si>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</si>
  <si>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</si>
  <si>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</si>
  <si>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</si>
  <si>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</si>
  <si>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</si>
  <si>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</si>
  <si>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</si>
  <si>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</si>
  <si>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</si>
  <si>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</si>
  <si>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</si>
  <si>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</si>
  <si>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</si>
  <si>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</si>
  <si>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</si>
  <si>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</si>
  <si>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</si>
  <si>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</si>
  <si>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</si>
  <si>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</si>
  <si>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</si>
  <si>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</si>
  <si>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</si>
  <si>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</si>
  <si>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</si>
  <si>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</si>
  <si>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</si>
  <si>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</si>
  <si>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</si>
  <si>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</si>
  <si>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</si>
  <si>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</si>
  <si>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</si>
  <si>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</si>
  <si>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</si>
  <si>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</si>
  <si>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</si>
  <si>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</si>
  <si>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</si>
  <si>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</si>
  <si>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</si>
  <si>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</si>
  <si>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</si>
  <si>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</si>
  <si>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</si>
  <si>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</si>
  <si>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</si>
  <si>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</si>
  <si>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</si>
  <si>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</si>
  <si>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</si>
  <si>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</si>
  <si>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</si>
  <si>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</si>
  <si>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</si>
  <si>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</si>
  <si>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</si>
  <si>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</si>
  <si>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</si>
  <si>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</si>
  <si>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</si>
  <si>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</si>
  <si>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</si>
  <si>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</si>
  <si>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</si>
  <si>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</si>
  <si>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</si>
  <si>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</si>
  <si>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</si>
  <si>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</si>
  <si>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</si>
  <si>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</si>
  <si>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</si>
  <si>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</si>
  <si>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</si>
  <si>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</si>
  <si>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</si>
  <si>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</si>
  <si>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</si>
  <si>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</si>
  <si>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</si>
  <si>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</si>
  <si>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</si>
  <si>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</si>
  <si>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</si>
  <si>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</si>
  <si>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</si>
  <si>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</si>
  <si>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</si>
  <si>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</si>
  <si>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</si>
  <si>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</si>
  <si>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</si>
  <si>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</si>
  <si>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</si>
  <si>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</si>
  <si>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</si>
  <si>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</si>
  <si>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</si>
  <si>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</si>
  <si>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</si>
  <si>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</si>
  <si>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</si>
  <si>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</si>
  <si>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</si>
  <si>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</si>
  <si>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</si>
  <si>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</si>
  <si>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</si>
  <si>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</si>
  <si>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</si>
  <si>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</si>
  <si>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</si>
  <si>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</si>
  <si>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</si>
  <si>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</si>
  <si>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</si>
  <si>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</si>
  <si>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</si>
  <si>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</si>
  <si>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</si>
  <si>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</si>
  <si>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</si>
  <si>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</si>
  <si>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</si>
  <si>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</si>
  <si>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</si>
  <si>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</si>
  <si>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</si>
  <si>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</si>
  <si>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</si>
  <si>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</si>
  <si>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</si>
  <si>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</si>
  <si>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</si>
  <si>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</si>
  <si>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</si>
  <si>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</si>
  <si>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</si>
  <si>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</si>
  <si>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</si>
  <si>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</si>
  <si>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</si>
  <si>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</si>
  <si>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</si>
  <si>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</si>
  <si>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</si>
  <si>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</si>
  <si>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</si>
  <si>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</si>
  <si>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</si>
  <si>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</si>
  <si>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</si>
  <si>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</si>
  <si>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</si>
  <si>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</si>
  <si>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</si>
  <si>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</si>
  <si>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</si>
  <si>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</si>
  <si>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</si>
  <si>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</si>
  <si>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</si>
  <si>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</si>
  <si>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</si>
  <si>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</si>
  <si>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</si>
  <si>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</si>
  <si>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</si>
  <si>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</si>
  <si>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</si>
  <si>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</si>
  <si>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</si>
  <si>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</si>
  <si>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</si>
  <si>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</si>
  <si>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</si>
  <si>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</si>
  <si>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</si>
  <si>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1.4</t>
  </si>
  <si>
    <t>Tỷ lệ đúng của nhóm Tra cứu đơn ở v1.4 là bao nhiêu? (gõ kèm %)</t>
  </si>
  <si>
    <t>1.5</t>
  </si>
  <si>
    <t>Nhóm Tra cứu đơn tụt bao nhiêu điểm phần trăm? (gõ một số)</t>
  </si>
  <si>
    <t>1.6</t>
  </si>
  <si>
    <t>Kết luận nào đúng?</t>
  </si>
  <si>
    <t>1.7</t>
  </si>
  <si>
    <t>Muốn tin một khoảng chênh 3 điểm phần trăm là thật (độ tin 95%), cần khoảng bao nhiêu ca?  (chọn: Khoảng 100 ca / Khoảng 1.000 ca / Khoảng 10.000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</si>
  <si>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</si>
  <si>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</si>
  <si>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</si>
  <si>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</si>
  <si>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</si>
  <si>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</si>
  <si>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</si>
  <si>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</si>
  <si>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</si>
  <si>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</si>
  <si>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</si>
  <si>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</si>
  <si>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</si>
  <si>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</si>
  <si>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</si>
  <si>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</si>
  <si>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</si>
  <si>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</si>
  <si>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</si>
  <si>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</si>
  <si>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</si>
  <si>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</si>
  <si>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</si>
  <si>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</si>
  <si>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</si>
  <si>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</si>
  <si>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</si>
  <si>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</si>
  <si>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</si>
  <si>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</si>
  <si>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</si>
  <si>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30</t>
  </si>
  <si>
    <t>2.11</t>
  </si>
  <si>
    <t>"Cái đơn hôm bữa ấy, thôi giờ mình không lấy nữa được không?" Loại tình huống?  (chọn: Đại diện / Thử thách / Hồi quy nghiêm trọng)</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</si>
  <si>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</si>
  <si>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</si>
  <si>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</si>
  <si>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</si>
  <si>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</si>
  <si>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</si>
  <si>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</si>
  <si>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</si>
  <si>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</si>
  <si>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</si>
  <si>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</si>
  <si>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</si>
  <si>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</si>
  <si>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</si>
  <si>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</si>
  <si>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</si>
  <si>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</si>
  <si>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</si>
  <si>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</si>
  <si>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</si>
  <si>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</si>
  <si>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</si>
  <si>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</si>
  <si>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</si>
  <si>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</si>
  <si>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</si>
  <si>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</si>
  <si>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</si>
  <si>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</si>
  <si>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</si>
  <si>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</si>
  <si>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</si>
  <si>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</si>
  <si>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</si>
  <si>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</si>
  <si>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</si>
  <si>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</si>
  <si>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</si>
  <si>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</si>
  <si>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</si>
  <si>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</si>
  <si>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</si>
  <si>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</si>
  <si>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</si>
  <si>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</si>
  <si>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</si>
  <si>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</si>
  <si>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</si>
  <si>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</si>
  <si>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</si>
  <si>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</si>
  <si>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</si>
  <si>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</si>
  <si>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</si>
  <si>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</si>
  <si>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</si>
  <si>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</si>
  <si>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</si>
  <si>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</si>
  <si>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</si>
  <si>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</si>
  <si>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</si>
  <si>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</si>
  <si>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</si>
  <si>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</si>
  <si>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</si>
  <si>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</si>
  <si>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</si>
  <si>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</si>
  <si>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</si>
  <si>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</si>
  <si>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</si>
  <si>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</si>
  <si>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</si>
  <si>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</si>
  <si>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</si>
  <si>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</si>
  <si>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</si>
  <si>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</si>
  <si>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</si>
  <si>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</si>
  <si>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</si>
  <si>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</si>
  <si>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</si>
  <si>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</si>
  <si>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4.4</t>
  </si>
  <si>
    <t>Tiêu chí: nhãn ý định là đúng 1 trong 4 nhãn cho phép. Bộ chấm?  (chọn: Mã lệnh / Giám khảo AI / Người quyết)</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</si>
  <si>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</si>
  <si>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</si>
  <si>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</si>
  <si>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</si>
  <si>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</si>
  <si>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</si>
  <si>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</si>
  <si>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</si>
  <si>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</si>
  <si>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</si>
  <si>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</si>
  <si>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4.9</t>
  </si>
  <si>
    <t>Tiêu chí: đề xuất mức đền bù cho hàng lỗi có hợp lý với từng khách không. Bộ chấm?  (chọn: Mã lệnh / Giám khảo AI / Người quyết)</t>
  </si>
  <si>
    <t>41</t>
  </si>
  <si>
    <t>4.10</t>
  </si>
  <si>
    <t>Đầu ra: "Ý định: Đổi hàng". Mã kiểm tra trả về?  (chọn: Đạt · đúng 1 nhãn / Không đạt · không có nhãn hợp lệ / Không đạt · nhiều hơn 1 nhãn)</t>
  </si>
  <si>
    <t>44</t>
  </si>
  <si>
    <t>4.11</t>
  </si>
  <si>
    <t>Đầu ra: "Ý định: đổi size". Mã kiểm tra trả về?  (chọn: Đạt · đúng 1 nhãn / Không đạt · không có nhãn hợp lệ / Không đạt · nhiều hơn 1 nhãn)</t>
  </si>
  <si>
    <t>4.12</t>
  </si>
  <si>
    <t>Đầu ra: "Ý định: Đổi hàng; Trả hàng". Mã kiểm tra trả về?  (chọn: Đạt · đúng 1 nhãn / Không đạt · không có nhãn hợp lệ / 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</si>
  <si>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</si>
  <si>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</si>
  <si>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</si>
  <si>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</si>
  <si>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</si>
  <si>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50</t>
  </si>
  <si>
    <t>4.15</t>
  </si>
  <si>
    <t>Khi Lặp tiếp, đòn nào làm trước?  (chọn: Sửa câu lệnh / Đổi mô hình / Đổi kiến trúc)</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</si>
  <si>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</si>
  <si>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</si>
  <si>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</si>
  <si>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</si>
  <si>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</si>
  <si>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</si>
  <si>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</si>
  <si>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Giám khảo AI</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</si>
  <si>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</si>
  <si>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</si>
  <si>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</si>
  <si>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</si>
  <si>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</si>
  <si>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</si>
  <si>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</si>
  <si>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</si>
  <si>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</si>
  <si>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</si>
  <si>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</si>
  <si>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</si>
  <si>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</si>
  <si>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</si>
  <si>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</si>
  <si>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</si>
  <si>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</si>
  <si>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</si>
  <si>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</si>
  <si>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</si>
  <si>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</si>
  <si>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</si>
  <si>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</si>
  <si>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</si>
  <si>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</si>
  <si>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</si>
  <si>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</si>
  <si>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</si>
  <si>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</si>
  <si>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</si>
  <si>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</si>
  <si>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</si>
  <si>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</si>
  <si>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</si>
  <si>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</si>
  <si>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</si>
  <si>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</si>
  <si>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</si>
  <si>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</si>
  <si>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</si>
  <si>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</si>
  <si>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</si>
  <si>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</si>
  <si>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</si>
  <si>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</si>
  <si>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</si>
  <si>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</si>
  <si>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</si>
  <si>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Nhóm TungTungTungSahur. Thành viên: Đỗ Lê Việt Anh, Nguyễn Quang Huy, Nguyễn Thị Minh Khánh, Lại Bá Quân.</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</si>
  <si>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</si>
  <si>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</si>
  <si>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</si>
  <si>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</si>
  <si>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</si>
  <si>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</si>
  <si>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</si>
  <si>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</si>
  <si>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</si>
  <si>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</si>
  <si>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</si>
  <si>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</si>
  <si>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</si>
  <si>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</si>
  <si>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</si>
  <si>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</si>
  <si>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</si>
  <si>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</si>
  <si>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</si>
  <si>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</si>
  <si>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</si>
  <si>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</si>
  <si>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</si>
  <si>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</si>
  <si>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</si>
  <si>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</si>
  <si>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</si>
  <si>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</si>
  <si>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</si>
  <si>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</si>
  <si>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</si>
  <si>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</si>
  <si>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</si>
  <si>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</si>
  <si>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</si>
  <si>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</si>
  <si>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</si>
  <si>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</si>
  <si>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</si>
  <si>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</si>
  <si>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</si>
  <si>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</si>
  <si>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</si>
  <si>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</si>
  <si>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</si>
  <si>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</si>
  <si>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</si>
  <si>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</si>
  <si>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</si>
  <si>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</si>
  <si>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</si>
  <si>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</si>
  <si>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TC2</t>
  </si>
  <si>
    <t>TC3</t>
  </si>
  <si>
    <t>TC4</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</si>
  <si>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</si>
  <si>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</si>
  <si>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</si>
  <si>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</si>
  <si>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</si>
  <si>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</si>
  <si>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</si>
  <si>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</si>
  <si>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</si>
  <si>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</si>
  <si>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</si>
  <si>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</si>
  <si>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</si>
  <si>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</si>
  <si>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</si>
  <si>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</si>
  <si>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</si>
  <si>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</si>
  <si>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</si>
  <si>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</si>
  <si>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Mã lệnh</t>
  </si>
  <si>
    <t>94%</t>
  </si>
  <si>
    <t>Không bịa mã đơn</t>
  </si>
  <si>
    <t>100%</t>
  </si>
  <si>
    <t>≥ 95%</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</si>
  <si>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</si>
  <si>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</si>
  <si>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</si>
  <si>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</si>
  <si>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</si>
  <si>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</si>
  <si>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</si>
  <si>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</si>
  <si>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</si>
  <si>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</si>
  <si>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</si>
  <si>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Kế hoạch đi kèm</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</si>
  <si>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</si>
  <si>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</si>
  <si>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</si>
  <si>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</si>
  <si>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</si>
  <si>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</si>
  <si>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</si>
  <si>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</si>
  <si>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</si>
  <si>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</si>
  <si>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</si>
  <si>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</si>
  <si>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</si>
  <si>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</si>
  <si>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</si>
  <si>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</si>
  <si>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</si>
  <si>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</si>
  <si>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</si>
  <si>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</si>
  <si>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</si>
  <si>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</si>
  <si>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</si>
  <si>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</si>
  <si>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</si>
  <si>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</si>
  <si>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</si>
  <si>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</si>
  <si>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</si>
  <si>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</si>
  <si>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</si>
  <si>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</si>
  <si>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</si>
  <si>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</si>
  <si>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</si>
  <si>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</si>
  <si>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</si>
  <si>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</si>
  <si>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</si>
  <si>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</si>
  <si>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</si>
  <si>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</si>
  <si>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</si>
  <si>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</si>
  <si>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</si>
  <si>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</si>
  <si>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</si>
  <si>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</si>
  <si>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</si>
  <si>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</si>
  <si>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</si>
  <si>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</si>
  <si>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</si>
  <si>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</si>
  <si>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</si>
  <si>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Có</t>
  </si>
  <si>
    <t>A</t>
  </si>
  <si>
    <t>Khoảng 100 ca</t>
  </si>
  <si>
    <t>Trục 1</t>
  </si>
  <si>
    <t>Đại diện</t>
  </si>
  <si>
    <t>Thiếu đặc tả → sửa câu lệnh</t>
  </si>
  <si>
    <t>Đạt · đúng 1 nhãn</t>
  </si>
  <si>
    <t>Phát hành</t>
  </si>
  <si>
    <t>Sửa câu lệnh</t>
  </si>
  <si>
    <t>Cho qua lỗi</t>
  </si>
  <si>
    <t>Đúng</t>
  </si>
  <si>
    <t>Không</t>
  </si>
  <si>
    <t>B</t>
  </si>
  <si>
    <t>Khoảng 1.000 ca</t>
  </si>
  <si>
    <t>Trục 2</t>
  </si>
  <si>
    <t>Thử thách</t>
  </si>
  <si>
    <t>Thiếu năng lực hệ thống → sửa kỹ thuật</t>
  </si>
  <si>
    <t>Không đạt · không có nhãn hợp lệ</t>
  </si>
  <si>
    <t>Lặp tiếp</t>
  </si>
  <si>
    <t>Đổi mô hình</t>
  </si>
  <si>
    <t>Chặn nhầm</t>
  </si>
  <si>
    <t>Sai</t>
  </si>
  <si>
    <t>C</t>
  </si>
  <si>
    <t>Khoảng 10.000 ca</t>
  </si>
  <si>
    <t>Trục 3</t>
  </si>
  <si>
    <t>Hồi quy nghiêm trọng</t>
  </si>
  <si>
    <t>Lúc được lúc không → viết bài đánh giá tự động</t>
  </si>
  <si>
    <t>Người quyết</t>
  </si>
  <si>
    <t>Không đạt · nhiều hơn 1 nhãn</t>
  </si>
  <si>
    <t>Quay về bản cũ</t>
  </si>
  <si>
    <t>Đổi kiến trúc</t>
  </si>
  <si>
    <t>Mã lệnh (lời gọi công cụ) + người kiểm mẫu 10%</t>
  </si>
</sst>
</file>

<file path=xl/styles.xml><?xml version="1.0" encoding="utf-8"?>
<styleSheet xmlns="http://schemas.openxmlformats.org/spreadsheetml/2006/main">
  <numFmts count="18">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 formatCode="0"/>
    <numFmt numFmtId="9" formatCode="0%"/>
    <numFmt numFmtId="164" formatCode="#,##0;[Red]\-#,##0"/>
    <numFmt numFmtId="165" formatCode="0.0%"/>
    <numFmt numFmtId="2" formatCode="0.00"/>
    <numFmt numFmtId="166" formatCode="0.0"/>
    <numFmt numFmtId="167" formatCode="_ _$\ * #,##0.00_ ;_ _$\ * \-#,##0.00_ ;_ _$\ * &quot;-&quot;??_ ;_ @_ "/>
    <numFmt numFmtId="168" formatCode="_ _$\ * #,##0_ ;_ _$\ * \-#,##0_ ;_ _$\ * &quot;-&quot;_ ;_ @_ "/>
    <numFmt numFmtId="169" formatCode="_ &quot;$&quot;\ * #,##0.00_ ;_ &quot;$&quot;\ * \-#,##0.00_ ;_ &quot;$&quot;\ * &quot;-&quot;??_ ;_ @_ "/>
    <numFmt numFmtId="170" formatCode="_ &quot;$&quot;\ * #,##0_ ;_ &quot;$&quot;\ * \-#,##0_ ;_ &quot;$&quot;\ * &quot;-&quot;_ ;_ @_ "/>
  </numFmts>
  <fonts count="8">
    <font>
      <name val="Calibri"/>
      <family val="2"/>
      <color rgb="FF000000"/>
      <sz val="11"/>
      <extLst>
        <ext uri="smNativeData">
          <pm:charSpec xmlns:pm="smNativeData" id="1792144992" ulstyle="none" kern="1">
            <pm:latin face="Calibri" sz="220" lang="default"/>
            <pm:cs face="Times New Roman" sz="220" lang="default"/>
            <pm:ea face="SimSun" sz="220" lang="default"/>
          </pm:charSpec>
        </ext>
      </extLst>
    </font>
    <font>
      <name val="Arial"/>
      <family val="2"/>
      <color rgb="FF000000"/>
      <sz val="10"/>
      <extLst>
        <ext uri="smNativeData">
          <pm:charSpec xmlns:pm="smNativeData" id="1792144992" ulstyle="none" kern="1">
            <pm:latin face="Arial" sz="200" lang="default"/>
            <pm:cs face="Times New Roman" sz="200" lang="default"/>
            <pm:ea face="SimSun" sz="200" lang="default"/>
          </pm:charSpec>
        </ext>
      </extLst>
    </font>
    <font>
      <name val="Cambria"/>
      <family val="1"/>
      <b/>
      <color rgb="FF000000"/>
      <sz val="14"/>
      <extLst>
        <ext uri="smNativeData">
          <pm:charSpec xmlns:pm="smNativeData" id="1792144992" ulstyle="none" kern="1">
            <pm:latin face="Cambria" sz="280" lang="default" weight="bold"/>
            <pm:cs face="Times New Roman" sz="280" lang="default" weight="bold"/>
            <pm:ea face="SimSun" sz="280" lang="default" weight="bold"/>
          </pm:charSpec>
        </ext>
      </extLst>
    </font>
    <font>
      <name val="Cambria"/>
      <family val="1"/>
      <i/>
      <color rgb="FF595959"/>
      <sz val="11"/>
      <extLst>
        <ext uri="smNativeData">
          <pm:charSpec xmlns:pm="smNativeData" id="1792144992" fgClr="595959" ulstyle="none" kern="1">
            <pm:latin face="Cambria" sz="220" lang="default" i="1"/>
            <pm:cs face="Times New Roman" sz="220" lang="default" i="1"/>
            <pm:ea face="SimSun" sz="220" lang="default" i="1"/>
          </pm:charSpec>
        </ext>
      </extLst>
    </font>
    <font>
      <name val="Calibri"/>
      <family val="2"/>
      <b/>
      <color rgb="FF000000"/>
      <sz val="11"/>
      <extLst>
        <ext uri="smNativeData">
          <pm:charSpec xmlns:pm="smNativeData" id="1792144992" ulstyle="none" kern="1">
            <pm:latin face="Calibri" sz="220" lang="default" weight="bold"/>
            <pm:cs face="Times New Roman" sz="220" lang="default" weight="bold"/>
            <pm:ea face="SimSun" sz="220" lang="default" weight="bold"/>
          </pm:charSpec>
        </ext>
      </extLst>
    </font>
    <font>
      <name val="Cambria"/>
      <family val="1"/>
      <b/>
      <color rgb="FF000000"/>
      <sz val="11"/>
      <extLst>
        <ext uri="smNativeData">
          <pm:charSpec xmlns:pm="smNativeData" id="1792144992" ulstyle="none" kern="1">
            <pm:latin face="Cambria" sz="220" lang="default" weight="bold"/>
            <pm:cs face="Times New Roman" sz="220" lang="default" weight="bold"/>
            <pm:ea face="SimSun" sz="220" lang="default" weight="bold"/>
          </pm:charSpec>
        </ext>
      </extLst>
    </font>
    <font>
      <name val="Cambria"/>
      <family val="1"/>
      <b/>
      <color rgb="FFFFFFFF"/>
      <sz val="11"/>
      <extLst>
        <ext uri="smNativeData">
          <pm:charSpec xmlns:pm="smNativeData" id="1792144992" fgClr="FFFFFF" ulstyle="none" kern="1">
            <pm:latin face="Cambria" sz="220" lang="default" weight="bold"/>
            <pm:cs face="Times New Roman" sz="220" lang="default" weight="bold"/>
            <pm:ea face="SimSun" sz="220" lang="default" weight="bold"/>
          </pm:charSpec>
        </ext>
      </extLst>
    </font>
    <font>
      <name val="Calibri"/>
      <family val="2"/>
      <i/>
      <color rgb="FF595959"/>
      <sz val="10"/>
      <extLst>
        <ext uri="smNativeData">
          <pm:charSpec xmlns:pm="smNativeData" id="1792144992" fgClr="595959" ulstyle="none" kern="1">
            <pm:latin face="Calibri" sz="200" lang="default" i="1"/>
            <pm:cs face="Times New Roman" sz="200" lang="default" i="1"/>
            <pm:ea face="SimSun" sz="200" lang="default" i="1"/>
          </pm:charSpec>
        </ext>
      </extLst>
    </font>
  </fonts>
  <fills count="8">
    <fill>
      <patternFill patternType="none"/>
    </fill>
    <fill>
      <patternFill patternType="gray125"/>
    </fill>
    <fill>
      <patternFill patternType="solid">
        <fgColor rgb="FF1F3864"/>
        <bgColor rgb="FFFFFFFF"/>
        <extLst>
          <ext uri="smNativeData">
            <pm:shade xmlns:pm="smNativeData" id="1792144992" type="1" fgLvl="100" fgClr="001F3864" bgLvl="0" bgClr="00333333"/>
          </ext>
        </extLst>
      </patternFill>
    </fill>
    <fill>
      <patternFill patternType="none"/>
    </fill>
    <fill>
      <patternFill patternType="solid">
        <fgColor rgb="FFFFF2CC"/>
        <bgColor rgb="FFFFFFFF"/>
        <extLst>
          <ext uri="smNativeData">
            <pm:shade xmlns:pm="smNativeData" id="1792144992" type="1" fgLvl="100" fgClr="00FFF2CC" bgLvl="0" bgClr="00E2EFDA"/>
          </ext>
        </extLst>
      </patternFill>
    </fill>
    <fill>
      <patternFill patternType="solid">
        <fgColor rgb="FFE2EFDA"/>
        <bgColor rgb="FFFFFFFF"/>
        <extLst>
          <ext uri="smNativeData">
            <pm:shade xmlns:pm="smNativeData" id="1792144992" type="1" fgLvl="100" fgClr="00E2EFDA" bgLvl="0" bgClr="00FFF2CC"/>
          </ext>
        </extLst>
      </patternFill>
    </fill>
    <fill>
      <patternFill patternType="solid">
        <fgColor rgb="FFFFFFFF"/>
        <bgColor rgb="FFFFFFFF"/>
        <extLst>
          <ext uri="smNativeData">
            <pm:shade xmlns:pm="smNativeData" id="1792144992" type="1" fgLvl="100" fgClr="00FFFFFF" bgLvl="100" bgClr="00000000"/>
          </ext>
        </extLst>
      </patternFill>
    </fill>
    <fill>
      <patternFill patternType="solid">
        <fgColor rgb="FFFFF2CC"/>
        <bgColor rgb="FFFFFFFF"/>
        <extLst>
          <ext uri="smNativeData">
            <pm:shade xmlns:pm="smNativeData" id="1792144992" type="1" fgLvl="100" fgClr="00FFF2CC" bgLvl="0" bgClr="00E2EFDA"/>
          </ext>
        </extLst>
      </patternFill>
    </fill>
  </fills>
  <borders count="7">
    <border>
      <left style="none">
        <color rgb="FF000000"/>
      </left>
      <right style="none">
        <color rgb="FF000000"/>
      </right>
      <top style="none">
        <color rgb="FF000000"/>
      </top>
      <bottom style="none">
        <color rgb="FF000000"/>
      </bottom>
      <extLst>
        <ext uri="smNativeData">
          <pm:border xmlns:pm="smNativeData" id="1792144992"/>
        </ext>
      </extLst>
    </border>
    <border>
      <left style="thin">
        <color rgb="FFBFBFBF"/>
      </left>
      <right style="thin">
        <color rgb="FFBFBFBF"/>
      </right>
      <top style="thin">
        <color rgb="FFBFBFBF"/>
      </top>
      <bottom style="thin">
        <color rgb="FFBFBFBF"/>
      </bottom>
      <extLst>
        <ext uri="smNativeData">
          <pm:border xmlns:pm="smNativeData" id="1792144992">
            <pm:line position="top" type="1" style="0" width="20" dist="20" width2="20" rgb="BFBFBF"/>
            <pm:line position="bottom" type="1" style="0" width="20" dist="20" width2="20" rgb="BFBFBF"/>
            <pm:line position="left" type="1" style="0" width="20" dist="20" width2="20" rgb="BFBFBF"/>
            <pm:line position="right" type="1" style="0" width="20" dist="20" width2="20" rgb="BFBFBF"/>
          </pm:border>
        </ext>
      </extLst>
    </border>
    <border>
      <left style="thin">
        <color rgb="FFBFBFBF"/>
      </left>
      <right style="thin">
        <color rgb="FFBFBFBF"/>
      </right>
      <top style="thin">
        <color rgb="FFBFBFBF"/>
      </top>
      <bottom style="thin">
        <color rgb="FFBFBFBF"/>
      </bottom>
      <extLst>
        <ext uri="smNativeData">
          <pm:border xmlns:pm="smNativeData" id="1792144992">
            <pm:line position="top" type="1" style="0" width="20" dist="20" width2="20" rgb="BFBFBF"/>
            <pm:line position="bottom" type="1" style="0" width="20" dist="20" width2="20" rgb="BFBFBF"/>
            <pm:line position="left" type="1" style="0" width="20" dist="20" width2="20" rgb="BFBFBF"/>
            <pm:line position="right" type="1" style="0" width="20" dist="20" width2="20" rgb="BFBFBF"/>
          </pm:border>
        </ext>
      </extLst>
    </border>
    <border>
      <left style="thin">
        <color rgb="FFBFBFBF"/>
      </left>
      <right style="thin">
        <color rgb="FFBFBFBF"/>
      </right>
      <top style="thin">
        <color rgb="FFBFBFBF"/>
      </top>
      <bottom style="thin">
        <color rgb="FFBFBFBF"/>
      </bottom>
      <extLst>
        <ext uri="smNativeData">
          <pm:border xmlns:pm="smNativeData" id="1792144992">
            <pm:line position="top" type="1" style="0" width="20" dist="20" width2="20" rgb="BFBFBF"/>
            <pm:line position="bottom" type="1" style="0" width="20" dist="20" width2="20" rgb="BFBFBF"/>
            <pm:line position="left" type="1" style="0" width="20" dist="20" width2="20" rgb="BFBFBF"/>
            <pm:line position="right" type="1" style="0" width="20" dist="20" width2="20" rgb="BFBFBF"/>
          </pm:border>
        </ext>
      </extLst>
    </border>
    <border>
      <left style="thin">
        <color rgb="FFBFBFBF"/>
      </left>
      <right style="thin">
        <color rgb="FFBFBFBF"/>
      </right>
      <top style="thin">
        <color rgb="FFBFBFBF"/>
      </top>
      <bottom style="thin">
        <color rgb="FFBFBFBF"/>
      </bottom>
      <extLst>
        <ext uri="smNativeData">
          <pm:border xmlns:pm="smNativeData" id="1792144992">
            <pm:line position="top" type="1" style="0" width="20" dist="20" width2="20" rgb="BFBFBF"/>
            <pm:line position="bottom" type="1" style="0" width="20" dist="20" width2="20" rgb="BFBFBF"/>
            <pm:line position="left" type="1" style="0" width="20" dist="20" width2="20" rgb="BFBFBF"/>
            <pm:line position="right" type="1" style="0" width="20" dist="20" width2="20" rgb="BFBFBF"/>
          </pm:border>
        </ext>
      </extLst>
    </border>
    <border>
      <left style="none">
        <color rgb="FF000000"/>
      </left>
      <right style="none">
        <color rgb="FF000000"/>
      </right>
      <top style="none">
        <color rgb="FF000000"/>
      </top>
      <bottom style="none">
        <color rgb="FF000000"/>
      </bottom>
      <extLst>
        <ext uri="smNativeData">
          <pm:border xmlns:pm="smNativeData" id="1792144992"/>
        </ext>
      </extLst>
    </border>
    <border>
      <left style="none">
        <color rgb="FF000000"/>
      </left>
      <right style="none">
        <color rgb="FF000000"/>
      </right>
      <top style="none">
        <color rgb="FF000000"/>
      </top>
      <bottom style="none">
        <color rgb="FF000000"/>
      </bottom>
      <extLst>
        <ext uri="smNativeData">
          <pm:border xmlns:pm="smNativeData" id="1792144992"/>
        </ext>
      </extLst>
    </border>
  </borders>
  <cellStyleXfs count="6">
    <xf numFmtId="0" fontId="0" fillId="0" borderId="0" applyNumberFormat="1" applyFont="1" applyFill="1" applyBorder="1" applyAlignment="1" applyProtection="1"/>
    <xf numFmtId="167" fontId="1" fillId="0" borderId="0" applyNumberFormat="1" applyFont="1" applyFill="1" applyBorder="0" applyAlignment="0" applyProtection="0"/>
    <xf numFmtId="168" fontId="1" fillId="0" borderId="0" applyNumberFormat="1" applyFont="1" applyFill="1" applyBorder="0" applyAlignment="0" applyProtection="0"/>
    <xf numFmtId="169" fontId="1" fillId="0" borderId="0" applyNumberFormat="1" applyFont="1" applyFill="1" applyBorder="0" applyAlignment="0" applyProtection="0"/>
    <xf numFmtId="170" fontId="1" fillId="0" borderId="0" applyNumberFormat="1" applyFont="1" applyFill="1" applyBorder="0" applyAlignment="0" applyProtection="0"/>
    <xf numFmtId="9" fontId="1" fillId="0" borderId="0" applyNumberFormat="1" applyFont="1" applyFill="1" applyBorder="0" applyAlignment="0" applyProtection="0"/>
  </cellStyleXfs>
  <cellXfs count="32">
    <xf numFmtId="0" fontId="0" fillId="0" borderId="0" xfId="0"/>
    <xf numFmtId="167" fontId="1" fillId="0" borderId="0" xfId="1"/>
    <xf numFmtId="168" fontId="1" fillId="0" borderId="0" xfId="2"/>
    <xf numFmtId="169" fontId="1" fillId="0" borderId="0" xfId="3"/>
    <xf numFmtId="170" fontId="1" fillId="0" borderId="0" xfId="4"/>
    <xf numFmtId="9" fontId="1" fillId="0" borderId="0" xfId="5"/>
    <xf numFmtId="0" fontId="0" fillId="0" borderId="0" xfId="0"/>
    <xf numFmtId="0" fontId="2" fillId="0" borderId="0" xfId="0" applyFont="1" applyAlignment="1">
      <alignment vertical="top"/>
    </xf>
    <xf numFmtId="0" fontId="3" fillId="0" borderId="0" xfId="0" applyFont="1" applyAlignment="1">
      <alignment vertical="top" wrapText="1"/>
    </xf>
    <xf numFmtId="0" fontId="4" fillId="0" borderId="0" xfId="0" applyFont="1" applyAlignment="1">
      <alignment vertical="top" wrapText="1"/>
    </xf>
    <xf numFmtId="0" fontId="0" fillId="0" borderId="0" xfId="0" applyAlignment="1">
      <alignment vertical="top" wrapText="1"/>
    </xf>
    <xf numFmtId="0" fontId="5" fillId="0" borderId="0" xfId="0" applyFont="1" applyAlignment="1">
      <alignment vertical="top"/>
    </xf>
    <xf numFmtId="0" fontId="6" fillId="2" borderId="1" xfId="0" applyFont="1" applyFill="1" applyBorder="1" applyAlignment="1">
      <alignment vertical="top" wrapText="1"/>
    </xf>
    <xf numFmtId="0" fontId="0" fillId="0" borderId="2" xfId="0" applyBorder="1" applyAlignment="1">
      <alignment vertical="top" wrapText="1"/>
    </xf>
    <xf numFmtId="0" fontId="4" fillId="0" borderId="2" xfId="0" applyFont="1" applyBorder="1" applyAlignment="1">
      <alignment vertical="top" wrapText="1"/>
    </xf>
    <xf numFmtId="0" fontId="7" fillId="0" borderId="0" xfId="0" applyFont="1" applyAlignment="1">
      <alignment vertical="top" wrapText="1"/>
    </xf>
    <xf numFmtId="1" fontId="0" fillId="4" borderId="3" xfId="0" applyNumberFormat="1" applyFill="1" applyBorder="1" applyAlignment="1" applyProtection="1">
      <alignment vertical="top" wrapText="1"/>
      <protection locked="0" hidden="0"/>
    </xf>
    <xf numFmtId="0" fontId="0" fillId="5" borderId="4" xfId="0" applyFill="1" applyBorder="1" applyAlignment="1" applyProtection="1">
      <alignment vertical="top" wrapText="1"/>
      <protection locked="1" hidden="1"/>
    </xf>
    <xf numFmtId="9" fontId="0" fillId="4" borderId="3" xfId="0" applyNumberFormat="1" applyFill="1" applyBorder="1" applyAlignment="1" applyProtection="1">
      <alignment vertical="top" wrapText="1"/>
      <protection locked="0" hidden="0"/>
    </xf>
    <xf numFmtId="164" fontId="0" fillId="4" borderId="3" xfId="0" applyNumberFormat="1" applyFill="1" applyBorder="1" applyAlignment="1" applyProtection="1">
      <alignment vertical="top" wrapText="1"/>
      <protection locked="0" hidden="0"/>
    </xf>
    <xf numFmtId="1" fontId="4" fillId="5" borderId="4" xfId="0" applyNumberFormat="1" applyFont="1" applyFill="1" applyBorder="1" applyAlignment="1">
      <alignment vertical="top" wrapText="1"/>
    </xf>
    <xf numFmtId="165" fontId="0" fillId="4" borderId="3" xfId="0" applyNumberFormat="1" applyFill="1" applyBorder="1" applyAlignment="1" applyProtection="1">
      <alignment vertical="top" wrapText="1"/>
      <protection locked="0" hidden="0"/>
    </xf>
    <xf numFmtId="2" fontId="0" fillId="4" borderId="3" xfId="0" applyNumberFormat="1" applyFill="1" applyBorder="1" applyAlignment="1" applyProtection="1">
      <alignment vertical="top" wrapText="1"/>
      <protection locked="0" hidden="0"/>
    </xf>
    <xf numFmtId="0" fontId="5" fillId="0" borderId="0" xfId="0" applyFont="1" applyAlignment="1">
      <alignment vertical="top" wrapText="1"/>
    </xf>
    <xf numFmtId="1" fontId="0" fillId="5" borderId="4" xfId="0" applyNumberFormat="1" applyFill="1" applyBorder="1" applyAlignment="1">
      <alignment vertical="top" wrapText="1"/>
    </xf>
    <xf numFmtId="165" fontId="4" fillId="5" borderId="4" xfId="0" applyNumberFormat="1" applyFont="1" applyFill="1" applyBorder="1" applyAlignment="1">
      <alignment vertical="top" wrapText="1"/>
    </xf>
    <xf numFmtId="9" fontId="0" fillId="0" borderId="2" xfId="0" applyNumberFormat="1" applyBorder="1" applyAlignment="1">
      <alignment vertical="top" wrapText="1"/>
    </xf>
    <xf numFmtId="166" fontId="0" fillId="0" borderId="2" xfId="0" applyNumberFormat="1" applyBorder="1" applyAlignment="1">
      <alignment vertical="top" wrapText="1"/>
    </xf>
    <xf numFmtId="166" fontId="4" fillId="5" borderId="4" xfId="0" applyNumberFormat="1" applyFont="1" applyFill="1" applyBorder="1" applyAlignment="1">
      <alignment vertical="top" wrapText="1"/>
    </xf>
    <xf numFmtId="2" fontId="4" fillId="5" borderId="4" xfId="0" applyNumberFormat="1" applyFont="1" applyFill="1" applyBorder="1" applyAlignment="1">
      <alignment vertical="top" wrapText="1"/>
    </xf>
    <xf numFmtId="1" fontId="0" fillId="0" borderId="2" xfId="0" applyNumberFormat="1" applyBorder="1" applyAlignment="1">
      <alignment vertical="top" wrapText="1"/>
    </xf>
    <xf numFmtId="0" fontId="0" fillId="5" borderId="4" xfId="0" applyFill="1" applyBorder="1" applyAlignment="1">
      <alignment vertical="top" wrapText="1"/>
    </xf>
  </cellXfs>
  <cellStyles count="6">
    <cellStyle name="Normal" xfId="0" builtinId="0" customBuiltin="1"/>
    <cellStyle name="Comma" xfId="1" builtinId="3" customBuiltin="1"/>
    <cellStyle name="Comma [0]" xfId="2" builtinId="6" customBuiltin="1"/>
    <cellStyle name="Currency" xfId="3" builtinId="4" customBuiltin="1"/>
    <cellStyle name="Currency [0]" xfId="4" builtinId="7" customBuiltin="1"/>
    <cellStyle name="Percent" xfId="5" builtinId="5" customBuiltin="1"/>
  </cellStyles>
  <tableStyles count="0"/>
  <extLst>
    <ext uri="smNativeData">
      <pm:charStyles xmlns:pm="smNativeData" id="1792144992" count="1">
        <pm:charStyle name="Normal" fontId="0" Id="1"/>
      </pm:charStyles>
      <pm:colors xmlns:pm="smNativeData" id="1792144992" count="5">
        <pm:color name="Color 24" rgb="595959"/>
        <pm:color name="Color 25" rgb="1F3864"/>
        <pm:color name="Color 26" rgb="FFF2CC"/>
        <pm:color name="Color 27" rgb="E2EFDA"/>
        <pm:color name="Color 28" rgb="BFBFBF"/>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pageSetUpPr fitToPage="1"/>
  </sheetPr>
  <dimension ref="A1:D30"/>
  <sheetViews>
    <sheetView view="normal" topLeftCell="A7" workbookViewId="0">
      <selection activeCell="A1" sqref="A1"/>
    </sheetView>
  </sheetViews>
  <sheetFormatPr defaultRowHeight="15.40"/>
  <cols>
    <col min="1" max="1" width="16.000000" customWidth="1" style="6"/>
    <col min="2" max="2" width="14.000000" customWidth="1" style="6"/>
    <col min="3" max="3" width="70.000000" customWidth="1" style="6"/>
    <col min="4" max="4" width="12.000000" customWidth="1" style="6"/>
  </cols>
  <sheetData>
    <row r="1" spans="1:1">
      <c r="A1" s="7" t="s">
        <v>0</v>
      </c>
    </row>
    <row r="2" spans="1:4" ht="33" customHeight="1">
      <c r="A2" s="8" t="s">
        <v>1</v>
      </c>
      <c r="B2" s="8"/>
      <c r="C2" s="8"/>
      <c r="D2" s="8"/>
    </row>
    <row r="4" spans="1:4" ht="33" customHeight="1">
      <c r="A4" s="9" t="s">
        <v>2</v>
      </c>
      <c r="B4" s="9"/>
      <c r="C4" s="9"/>
      <c r="D4" s="9"/>
    </row>
    <row r="5" spans="1:4" ht="33" customHeight="1">
      <c r="A5" s="10" t="s">
        <v>3</v>
      </c>
      <c r="B5" s="10"/>
      <c r="C5" s="10"/>
      <c r="D5" s="10"/>
    </row>
    <row r="6" spans="1:4" ht="33" customHeight="1">
      <c r="A6" s="10" t="s">
        <v>4</v>
      </c>
      <c r="B6" s="10"/>
      <c r="C6" s="10"/>
      <c r="D6" s="10"/>
    </row>
    <row r="7" spans="1:4" ht="33" customHeight="1">
      <c r="A7" s="10" t="s">
        <v>5</v>
      </c>
      <c r="B7" s="10"/>
      <c r="C7" s="10"/>
      <c r="D7" s="10"/>
    </row>
    <row r="8" spans="1:4" ht="33" customHeight="1">
      <c r="A8" s="10" t="s">
        <v>6</v>
      </c>
      <c r="B8" s="10"/>
      <c r="C8" s="10"/>
      <c r="D8" s="10"/>
    </row>
    <row r="9" spans="1:4" ht="18" customHeight="1">
      <c r="A9" s="10" t="s">
        <v>7</v>
      </c>
      <c r="B9" s="10"/>
      <c r="C9" s="10"/>
      <c r="D9" s="10"/>
    </row>
    <row r="10" spans="1:4" ht="18" customHeight="1">
      <c r="A10" s="10" t="s">
        <v>8</v>
      </c>
      <c r="B10" s="10"/>
      <c r="C10" s="10"/>
      <c r="D10" s="10"/>
    </row>
    <row r="12" spans="1:1">
      <c r="A12" s="11" t="s">
        <v>9</v>
      </c>
    </row>
    <row r="13" spans="1:4" ht="18" customHeight="1">
      <c r="A13" s="12" t="s">
        <v>10</v>
      </c>
      <c r="B13" s="12" t="s">
        <v>11</v>
      </c>
      <c r="C13" s="12" t="s">
        <v>12</v>
      </c>
      <c r="D13" s="12" t="s">
        <v>13</v>
      </c>
    </row>
    <row r="14" spans="1:4" ht="33" customHeight="1">
      <c r="A14" s="13" t="s">
        <v>14</v>
      </c>
      <c r="B14" s="13" t="s">
        <v>15</v>
      </c>
      <c r="C14" s="13" t="s">
        <v>16</v>
      </c>
      <c r="D14" s="13"/>
    </row>
    <row r="15" spans="1:4" ht="18" customHeight="1">
      <c r="A15" s="13" t="s">
        <v>17</v>
      </c>
      <c r="B15" s="13" t="s">
        <v>18</v>
      </c>
      <c r="C15" s="13" t="s">
        <v>19</v>
      </c>
      <c r="D15" s="13"/>
    </row>
    <row r="16" spans="1:4" ht="18" customHeight="1">
      <c r="A16" s="13" t="s">
        <v>20</v>
      </c>
      <c r="B16" s="13" t="s">
        <v>18</v>
      </c>
      <c r="C16" s="13" t="s">
        <v>21</v>
      </c>
      <c r="D16" s="13"/>
    </row>
    <row r="17" spans="1:4" ht="18" customHeight="1">
      <c r="A17" s="13" t="s">
        <v>22</v>
      </c>
      <c r="B17" s="14" t="s">
        <v>23</v>
      </c>
      <c r="C17" s="13" t="s">
        <v>24</v>
      </c>
      <c r="D17" s="13" t="s">
        <v>25</v>
      </c>
    </row>
    <row r="18" spans="1:4" ht="18" customHeight="1">
      <c r="A18" s="13" t="s">
        <v>26</v>
      </c>
      <c r="B18" s="13" t="s">
        <v>18</v>
      </c>
      <c r="C18" s="13" t="s">
        <v>27</v>
      </c>
      <c r="D18" s="13"/>
    </row>
    <row r="19" spans="1:4" ht="18" customHeight="1">
      <c r="A19" s="13" t="s">
        <v>28</v>
      </c>
      <c r="B19" s="14" t="s">
        <v>29</v>
      </c>
      <c r="C19" s="13" t="s">
        <v>30</v>
      </c>
      <c r="D19" s="13" t="s">
        <v>31</v>
      </c>
    </row>
    <row r="20" spans="1:4" ht="18" customHeight="1">
      <c r="A20" s="13" t="s">
        <v>32</v>
      </c>
      <c r="B20" s="13" t="s">
        <v>33</v>
      </c>
      <c r="C20" s="13" t="s">
        <v>34</v>
      </c>
      <c r="D20" s="13"/>
    </row>
    <row r="21" spans="1:4" ht="18" customHeight="1">
      <c r="A21" s="13" t="s">
        <v>35</v>
      </c>
      <c r="B21" s="13" t="s">
        <v>18</v>
      </c>
      <c r="C21" s="13" t="s">
        <v>36</v>
      </c>
      <c r="D21" s="13"/>
    </row>
    <row r="22" spans="1:4" ht="18" customHeight="1">
      <c r="A22" s="13" t="s">
        <v>37</v>
      </c>
      <c r="B22" s="14" t="s">
        <v>38</v>
      </c>
      <c r="C22" s="13" t="s">
        <v>39</v>
      </c>
      <c r="D22" s="13" t="s">
        <v>25</v>
      </c>
    </row>
    <row r="23" spans="1:4" ht="18" customHeight="1">
      <c r="A23" s="13" t="s">
        <v>40</v>
      </c>
      <c r="B23" s="13" t="s">
        <v>18</v>
      </c>
      <c r="C23" s="13" t="s">
        <v>41</v>
      </c>
      <c r="D23" s="13"/>
    </row>
    <row r="24" spans="1:4" ht="18" customHeight="1">
      <c r="A24" s="13" t="s">
        <v>42</v>
      </c>
      <c r="B24" s="14" t="s">
        <v>43</v>
      </c>
      <c r="C24" s="13" t="s">
        <v>44</v>
      </c>
      <c r="D24" s="13" t="s">
        <v>25</v>
      </c>
    </row>
    <row r="25" spans="1:4" ht="18" customHeight="1">
      <c r="A25" s="13" t="s">
        <v>45</v>
      </c>
      <c r="B25" s="13" t="s">
        <v>33</v>
      </c>
      <c r="C25" s="13" t="s">
        <v>34</v>
      </c>
      <c r="D25" s="13"/>
    </row>
    <row r="26" spans="1:4" ht="18" customHeight="1">
      <c r="A26" s="13" t="s">
        <v>46</v>
      </c>
      <c r="B26" s="13" t="s">
        <v>18</v>
      </c>
      <c r="C26" s="13" t="s">
        <v>47</v>
      </c>
      <c r="D26" s="13"/>
    </row>
    <row r="27" spans="1:4" ht="18" customHeight="1">
      <c r="A27" s="13" t="s">
        <v>48</v>
      </c>
      <c r="B27" s="14" t="s">
        <v>49</v>
      </c>
      <c r="C27" s="13" t="s">
        <v>50</v>
      </c>
      <c r="D27" s="13" t="s">
        <v>25</v>
      </c>
    </row>
    <row r="28" spans="1:4" ht="18" customHeight="1">
      <c r="A28" s="13" t="s">
        <v>51</v>
      </c>
      <c r="B28" s="13" t="s">
        <v>18</v>
      </c>
      <c r="C28" s="13" t="s">
        <v>52</v>
      </c>
      <c r="D28" s="13"/>
    </row>
    <row r="29" spans="1:4" ht="33" customHeight="1">
      <c r="A29" s="13" t="s">
        <v>53</v>
      </c>
      <c r="B29" s="14" t="s">
        <v>54</v>
      </c>
      <c r="C29" s="13" t="s">
        <v>55</v>
      </c>
      <c r="D29" s="13" t="s">
        <v>56</v>
      </c>
    </row>
    <row r="30" spans="1:4" ht="18" customHeight="1">
      <c r="A30" s="13" t="s">
        <v>57</v>
      </c>
      <c r="B30" s="13" t="s">
        <v>58</v>
      </c>
      <c r="C30" s="13" t="s">
        <v>59</v>
      </c>
      <c r="D30" s="13"/>
    </row>
  </sheetData>
  <sheetProtection password="C716" sheet="1" autoFilter="0"/>
  <mergeCells count="8">
    <mergeCell ref="A2:D2"/>
    <mergeCell ref="A4:D4"/>
    <mergeCell ref="A5:D5"/>
    <mergeCell ref="A6:D6"/>
    <mergeCell ref="A7:D7"/>
    <mergeCell ref="A8:D8"/>
    <mergeCell ref="A9:D9"/>
    <mergeCell ref="A10:D10"/>
  </mergeCells>
  <printOptions>
    <extLst>
      <ext uri="smNativeData">
        <pm:pageFlags xmlns:pm="smNativeData" id="1792144992" printRowHead="0" printColHead="0" printHeadLine="1" printFootLine="1" autoHeightHeader="0" autoHeightFooter="0" fitToPageBoth="1"/>
      </ext>
    </extLst>
  </printOptions>
  <pageMargins left="0.750000" right="0.750000" top="1.000000" bottom="1.000000" header="0.511806" footer="0.511806"/>
  <pageSetup paperSize="9" fitToWidth="1" fitToHeight="0" orientation="landscape" cellComments="asDisplayed"/>
  <headerFooter>
    <extLst>
      <ext uri="smNativeData">
        <pm:header xmlns:pm="smNativeData" id="1792144992" l="56" r="56" t="56" b="56" borderId="0" fillId="0" vertical="0"/>
        <pm:footer xmlns:pm="smNativeData" id="1792144992" l="56" r="56" t="56" b="56" borderId="0" fillId="0" vertical="2"/>
        <pm:paperBin xmlns:pm="smNativeData" id="1792144992" Id="0" type="0" value="0"/>
        <pm:paperBin xmlns:pm="smNativeData" id="1792144992" Id="1" type="0" value="0"/>
      </ext>
    </extLst>
  </headerFooter>
  <extLst>
    <ext uri="smNativeData">
      <pm:sheetPrefs xmlns:pm="smNativeData" day="1792144992"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sheetPr>
    <pageSetUpPr fitToPage="1"/>
  </sheetPr>
  <dimension ref="A1:C60"/>
  <sheetViews>
    <sheetView view="normal" workbookViewId="0">
      <selection activeCell="A1" sqref="A1"/>
    </sheetView>
  </sheetViews>
  <sheetFormatPr defaultRowHeight="15.40"/>
  <cols>
    <col min="1" max="1" width="12.000000" customWidth="1" style="6"/>
    <col min="2" max="2" width="34.000000" customWidth="1" style="6"/>
    <col min="3" max="3" width="70.000000" customWidth="1" style="6"/>
  </cols>
  <sheetData>
    <row r="1" spans="1:1">
      <c r="A1" s="7" t="s">
        <v>60</v>
      </c>
    </row>
    <row r="2" spans="1:3" ht="33" customHeight="1">
      <c r="A2" s="8" t="s">
        <v>61</v>
      </c>
      <c r="B2" s="8"/>
      <c r="C2" s="8"/>
    </row>
    <row r="3" spans="1:3" ht="18" customHeight="1">
      <c r="A3" s="10" t="s">
        <v>62</v>
      </c>
      <c r="B3" s="10"/>
      <c r="C3" s="10"/>
    </row>
    <row r="4" spans="1:3" ht="18" customHeight="1">
      <c r="A4" s="10" t="s">
        <v>63</v>
      </c>
      <c r="B4" s="10"/>
      <c r="C4" s="10"/>
    </row>
    <row r="6" spans="1:1">
      <c r="A6" s="11" t="s">
        <v>64</v>
      </c>
    </row>
    <row r="7" spans="1:3" ht="18" customHeight="1">
      <c r="A7" s="12" t="s">
        <v>65</v>
      </c>
      <c r="B7" s="12" t="s">
        <v>12</v>
      </c>
      <c r="C7" s="12" t="s">
        <v>66</v>
      </c>
    </row>
    <row r="8" spans="1:3" ht="18" customHeight="1">
      <c r="A8" s="14" t="s">
        <v>67</v>
      </c>
      <c r="B8" s="13" t="s">
        <v>68</v>
      </c>
      <c r="C8" s="13" t="s">
        <v>69</v>
      </c>
    </row>
    <row r="9" spans="1:3" ht="33" customHeight="1">
      <c r="A9" s="14" t="s">
        <v>70</v>
      </c>
      <c r="B9" s="13" t="s">
        <v>71</v>
      </c>
      <c r="C9" s="13" t="s">
        <v>72</v>
      </c>
    </row>
    <row r="10" spans="1:3" ht="33" customHeight="1">
      <c r="A10" s="14" t="s">
        <v>73</v>
      </c>
      <c r="B10" s="13" t="s">
        <v>74</v>
      </c>
      <c r="C10" s="13" t="s">
        <v>75</v>
      </c>
    </row>
    <row r="11" spans="1:3" ht="33" customHeight="1">
      <c r="A11" s="14" t="s">
        <v>76</v>
      </c>
      <c r="B11" s="13" t="s">
        <v>77</v>
      </c>
      <c r="C11" s="13" t="s">
        <v>78</v>
      </c>
    </row>
    <row r="12" spans="1:3" ht="18" customHeight="1">
      <c r="A12" s="14" t="s">
        <v>79</v>
      </c>
      <c r="B12" s="13" t="s">
        <v>80</v>
      </c>
      <c r="C12" s="13" t="s">
        <v>81</v>
      </c>
    </row>
    <row r="13" spans="1:3" ht="18" customHeight="1">
      <c r="A13" s="14" t="s">
        <v>82</v>
      </c>
      <c r="B13" s="13" t="s">
        <v>83</v>
      </c>
      <c r="C13" s="13" t="s">
        <v>84</v>
      </c>
    </row>
    <row r="15" spans="1:3" ht="18" customHeight="1">
      <c r="A15" s="9" t="s">
        <v>85</v>
      </c>
      <c r="B15" s="9"/>
      <c r="C15" s="9"/>
    </row>
    <row r="16" spans="1:3" ht="18" customHeight="1">
      <c r="A16" s="10" t="s">
        <v>86</v>
      </c>
      <c r="B16" s="10"/>
      <c r="C16" s="10"/>
    </row>
    <row r="18" spans="1:1">
      <c r="A18" s="11" t="s">
        <v>87</v>
      </c>
    </row>
    <row r="19" spans="1:3" ht="18" customHeight="1">
      <c r="A19" s="12"/>
      <c r="B19" s="12" t="s">
        <v>88</v>
      </c>
      <c r="C19" s="12" t="s">
        <v>89</v>
      </c>
    </row>
    <row r="20" spans="1:3" ht="18" customHeight="1">
      <c r="A20" s="13" t="s">
        <v>90</v>
      </c>
      <c r="B20" s="14" t="s">
        <v>91</v>
      </c>
      <c r="C20" s="13" t="s">
        <v>92</v>
      </c>
    </row>
    <row r="21" spans="1:3" ht="18" customHeight="1">
      <c r="A21" s="13" t="s">
        <v>93</v>
      </c>
      <c r="B21" s="14" t="s">
        <v>94</v>
      </c>
      <c r="C21" s="13" t="s">
        <v>95</v>
      </c>
    </row>
    <row r="22" spans="1:3" ht="18" customHeight="1">
      <c r="A22" s="13" t="s">
        <v>96</v>
      </c>
      <c r="B22" s="14" t="s">
        <v>97</v>
      </c>
      <c r="C22" s="13" t="s">
        <v>98</v>
      </c>
    </row>
    <row r="23" spans="1:3" ht="18" customHeight="1">
      <c r="A23" s="15" t="s">
        <v>99</v>
      </c>
      <c r="B23" s="15"/>
      <c r="C23" s="15"/>
    </row>
    <row r="25" spans="1:1">
      <c r="A25" s="11" t="s">
        <v>100</v>
      </c>
    </row>
    <row r="26" spans="1:3" ht="18" customHeight="1">
      <c r="A26" s="12"/>
      <c r="B26" s="12" t="s">
        <v>101</v>
      </c>
      <c r="C26" s="12" t="s">
        <v>102</v>
      </c>
    </row>
    <row r="27" spans="1:3" ht="18" customHeight="1">
      <c r="A27" s="13" t="s">
        <v>90</v>
      </c>
      <c r="B27" s="14" t="s">
        <v>103</v>
      </c>
      <c r="C27" s="13" t="s">
        <v>104</v>
      </c>
    </row>
    <row r="28" spans="1:3" ht="18" customHeight="1">
      <c r="A28" s="13" t="s">
        <v>93</v>
      </c>
      <c r="B28" s="14" t="s">
        <v>105</v>
      </c>
      <c r="C28" s="13" t="s">
        <v>106</v>
      </c>
    </row>
    <row r="29" spans="1:3" ht="18" customHeight="1">
      <c r="A29" s="13" t="s">
        <v>96</v>
      </c>
      <c r="B29" s="14" t="s">
        <v>107</v>
      </c>
      <c r="C29" s="13" t="s">
        <v>108</v>
      </c>
    </row>
    <row r="30" spans="1:3" ht="18" customHeight="1">
      <c r="A30" s="13" t="s">
        <v>109</v>
      </c>
      <c r="B30" s="14" t="s">
        <v>110</v>
      </c>
      <c r="C30" s="13" t="s">
        <v>111</v>
      </c>
    </row>
    <row r="31" spans="1:3" ht="18" customHeight="1">
      <c r="A31" s="13" t="s">
        <v>112</v>
      </c>
      <c r="B31" s="14" t="s">
        <v>113</v>
      </c>
      <c r="C31" s="13" t="s">
        <v>114</v>
      </c>
    </row>
    <row r="33" spans="1:1">
      <c r="A33" s="11" t="s">
        <v>115</v>
      </c>
    </row>
    <row r="34" spans="1:3" ht="18" customHeight="1">
      <c r="A34" s="12"/>
      <c r="B34" s="12" t="s">
        <v>116</v>
      </c>
      <c r="C34" s="12" t="s">
        <v>117</v>
      </c>
    </row>
    <row r="35" spans="1:3" ht="18" customHeight="1">
      <c r="A35" s="13" t="s">
        <v>90</v>
      </c>
      <c r="B35" s="13" t="s">
        <v>118</v>
      </c>
      <c r="C35" s="13" t="s">
        <v>119</v>
      </c>
    </row>
    <row r="36" spans="1:3" ht="18" customHeight="1">
      <c r="A36" s="13" t="s">
        <v>93</v>
      </c>
      <c r="B36" s="13" t="s">
        <v>120</v>
      </c>
      <c r="C36" s="13" t="s">
        <v>121</v>
      </c>
    </row>
    <row r="37" spans="1:3" ht="18" customHeight="1">
      <c r="A37" s="13" t="s">
        <v>96</v>
      </c>
      <c r="B37" s="13" t="s">
        <v>122</v>
      </c>
      <c r="C37" s="13" t="s">
        <v>123</v>
      </c>
    </row>
    <row r="38" spans="1:3" ht="18" customHeight="1">
      <c r="A38" s="13" t="s">
        <v>109</v>
      </c>
      <c r="B38" s="13" t="s">
        <v>124</v>
      </c>
      <c r="C38" s="13" t="s">
        <v>125</v>
      </c>
    </row>
    <row r="39" spans="1:3" ht="18" customHeight="1">
      <c r="A39" s="13" t="s">
        <v>112</v>
      </c>
      <c r="B39" s="13" t="s">
        <v>126</v>
      </c>
      <c r="C39" s="13" t="s">
        <v>127</v>
      </c>
    </row>
    <row r="40" spans="1:3" ht="18" customHeight="1">
      <c r="A40" s="13" t="s">
        <v>128</v>
      </c>
      <c r="B40" s="13" t="s">
        <v>129</v>
      </c>
      <c r="C40" s="13" t="s">
        <v>130</v>
      </c>
    </row>
    <row r="41" spans="1:3" ht="18" customHeight="1">
      <c r="A41" s="13" t="s">
        <v>131</v>
      </c>
      <c r="B41" s="13" t="s">
        <v>132</v>
      </c>
      <c r="C41" s="13" t="s">
        <v>133</v>
      </c>
    </row>
    <row r="42" spans="1:3" ht="18" customHeight="1">
      <c r="A42" s="13" t="s">
        <v>134</v>
      </c>
      <c r="B42" s="13" t="s">
        <v>135</v>
      </c>
      <c r="C42" s="13" t="s">
        <v>136</v>
      </c>
    </row>
    <row r="43" spans="1:3" ht="18" customHeight="1">
      <c r="A43" s="13" t="s">
        <v>137</v>
      </c>
      <c r="B43" s="13" t="s">
        <v>138</v>
      </c>
      <c r="C43" s="13" t="s">
        <v>139</v>
      </c>
    </row>
    <row r="44" spans="1:3" ht="18" customHeight="1">
      <c r="A44" s="13" t="s">
        <v>140</v>
      </c>
      <c r="B44" s="13" t="s">
        <v>141</v>
      </c>
      <c r="C44" s="13" t="s">
        <v>142</v>
      </c>
    </row>
    <row r="45" spans="1:3" ht="18" customHeight="1">
      <c r="A45" s="13" t="s">
        <v>143</v>
      </c>
      <c r="B45" s="13" t="s">
        <v>144</v>
      </c>
      <c r="C45" s="13" t="s">
        <v>145</v>
      </c>
    </row>
    <row r="46" spans="1:3" ht="33" customHeight="1">
      <c r="A46" s="13" t="s">
        <v>146</v>
      </c>
      <c r="B46" s="13" t="s">
        <v>147</v>
      </c>
      <c r="C46" s="13" t="s">
        <v>148</v>
      </c>
    </row>
    <row r="47" spans="1:3" ht="18" customHeight="1">
      <c r="A47" s="13" t="s">
        <v>149</v>
      </c>
      <c r="B47" s="13" t="s">
        <v>150</v>
      </c>
      <c r="C47" s="13" t="s">
        <v>151</v>
      </c>
    </row>
    <row r="48" spans="1:3" ht="18" customHeight="1">
      <c r="A48" s="13" t="s">
        <v>152</v>
      </c>
      <c r="B48" s="13" t="s">
        <v>153</v>
      </c>
      <c r="C48" s="13" t="s">
        <v>154</v>
      </c>
    </row>
    <row r="49" spans="1:3" ht="33" customHeight="1">
      <c r="A49" s="13" t="s">
        <v>155</v>
      </c>
      <c r="B49" s="13" t="s">
        <v>156</v>
      </c>
      <c r="C49" s="13" t="s">
        <v>157</v>
      </c>
    </row>
    <row r="50" spans="1:3" ht="18" customHeight="1">
      <c r="A50" s="13" t="s">
        <v>158</v>
      </c>
      <c r="B50" s="13" t="s">
        <v>159</v>
      </c>
      <c r="C50" s="13" t="s">
        <v>160</v>
      </c>
    </row>
    <row r="51" spans="1:3" ht="18" customHeight="1">
      <c r="A51" s="13" t="s">
        <v>161</v>
      </c>
      <c r="B51" s="13" t="s">
        <v>162</v>
      </c>
      <c r="C51" s="13" t="s">
        <v>163</v>
      </c>
    </row>
    <row r="52" spans="1:3" ht="18" customHeight="1">
      <c r="A52" s="13" t="s">
        <v>164</v>
      </c>
      <c r="B52" s="13" t="s">
        <v>165</v>
      </c>
      <c r="C52" s="13" t="s">
        <v>166</v>
      </c>
    </row>
    <row r="53" spans="1:3" ht="18" customHeight="1">
      <c r="A53" s="13" t="s">
        <v>167</v>
      </c>
      <c r="B53" s="13" t="s">
        <v>168</v>
      </c>
      <c r="C53" s="13" t="s">
        <v>169</v>
      </c>
    </row>
    <row r="54" spans="1:3" ht="18" customHeight="1">
      <c r="A54" s="13" t="s">
        <v>170</v>
      </c>
      <c r="B54" s="13" t="s">
        <v>171</v>
      </c>
      <c r="C54" s="13" t="s">
        <v>172</v>
      </c>
    </row>
    <row r="55" spans="1:3" ht="18" customHeight="1">
      <c r="A55" s="13" t="s">
        <v>173</v>
      </c>
      <c r="B55" s="13" t="s">
        <v>174</v>
      </c>
      <c r="C55" s="13" t="s">
        <v>175</v>
      </c>
    </row>
    <row r="56" spans="1:3" ht="18" customHeight="1">
      <c r="A56" s="13" t="s">
        <v>176</v>
      </c>
      <c r="B56" s="13" t="s">
        <v>177</v>
      </c>
      <c r="C56" s="13" t="s">
        <v>178</v>
      </c>
    </row>
    <row r="57" spans="1:3" ht="18" customHeight="1">
      <c r="A57" s="13" t="s">
        <v>179</v>
      </c>
      <c r="B57" s="13" t="s">
        <v>180</v>
      </c>
      <c r="C57" s="13" t="s">
        <v>181</v>
      </c>
    </row>
    <row r="58" spans="1:3" ht="18" customHeight="1">
      <c r="A58" s="13" t="s">
        <v>182</v>
      </c>
      <c r="B58" s="13" t="s">
        <v>183</v>
      </c>
      <c r="C58" s="13" t="s">
        <v>184</v>
      </c>
    </row>
    <row r="59" spans="1:3" ht="18" customHeight="1">
      <c r="A59" s="13" t="s">
        <v>185</v>
      </c>
      <c r="B59" s="13" t="s">
        <v>186</v>
      </c>
      <c r="C59" s="13" t="s">
        <v>187</v>
      </c>
    </row>
    <row r="60" spans="1:3" ht="18" customHeight="1">
      <c r="A60" s="13" t="s">
        <v>188</v>
      </c>
      <c r="B60" s="13" t="s">
        <v>189</v>
      </c>
      <c r="C60" s="13" t="s">
        <v>190</v>
      </c>
    </row>
  </sheetData>
  <sheetProtection password="C716" sheet="1" autoFilter="0"/>
  <mergeCells count="6">
    <mergeCell ref="A2:C2"/>
    <mergeCell ref="A3:C3"/>
    <mergeCell ref="A4:C4"/>
    <mergeCell ref="A15:C15"/>
    <mergeCell ref="A16:C16"/>
    <mergeCell ref="A23:C23"/>
  </mergeCells>
  <printOptions>
    <extLst>
      <ext uri="smNativeData">
        <pm:pageFlags xmlns:pm="smNativeData" id="1792144992" printRowHead="0" printColHead="0" printHeadLine="1" printFootLine="1" autoHeightHeader="0" autoHeightFooter="0" fitToPageBoth="1"/>
      </ext>
    </extLst>
  </printOptions>
  <pageMargins left="0.750000" right="0.750000" top="1.000000" bottom="1.000000" header="0.511806" footer="0.511806"/>
  <pageSetup paperSize="9" fitToWidth="1" fitToHeight="0" orientation="landscape" cellComments="asDisplayed"/>
  <headerFooter>
    <extLst>
      <ext uri="smNativeData">
        <pm:header xmlns:pm="smNativeData" id="1792144992" l="56" r="56" t="56" b="56" borderId="0" fillId="0" vertical="0"/>
        <pm:footer xmlns:pm="smNativeData" id="1792144992" l="56" r="56" t="56" b="56" borderId="0" fillId="0" vertical="2"/>
        <pm:paperBin xmlns:pm="smNativeData" id="1792144992" Id="0" type="0" value="0"/>
        <pm:paperBin xmlns:pm="smNativeData" id="1792144992" Id="1" type="0" value="0"/>
      </ext>
    </extLst>
  </headerFooter>
  <extLst>
    <ext uri="smNativeData">
      <pm:sheetPrefs xmlns:pm="smNativeData" day="1792144992"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1"/>
  </sheetPr>
  <dimension ref="A1:E29"/>
  <sheetViews>
    <sheetView view="normal" workbookViewId="0">
      <selection activeCell="A1" sqref="A1"/>
    </sheetView>
  </sheetViews>
  <sheetFormatPr defaultRowHeight="15.40"/>
  <cols>
    <col min="1" max="1" width="7.000000" customWidth="1" style="6"/>
    <col min="2" max="2" width="70.000000" customWidth="1" style="6"/>
    <col min="3" max="3" width="22.000000" customWidth="1" style="6"/>
    <col min="4" max="4" width="14.000000" customWidth="1" style="6"/>
    <col min="5" max="5" width="13.000000" customWidth="1" style="6"/>
  </cols>
  <sheetData>
    <row r="1" spans="1:1">
      <c r="A1" s="7" t="s">
        <v>191</v>
      </c>
    </row>
    <row r="2" spans="1:5" ht="18" customHeight="1">
      <c r="A2" s="8" t="s">
        <v>192</v>
      </c>
      <c r="B2" s="8"/>
      <c r="C2" s="8"/>
      <c r="D2" s="8"/>
      <c r="E2" s="8"/>
    </row>
    <row r="4" spans="1:5" ht="18" customHeight="1">
      <c r="A4" s="10" t="s">
        <v>193</v>
      </c>
      <c r="B4" s="10"/>
      <c r="C4" s="10"/>
      <c r="D4" s="10"/>
      <c r="E4" s="10"/>
    </row>
    <row r="5" spans="1:5" ht="18" customHeight="1">
      <c r="A5" s="10" t="s">
        <v>194</v>
      </c>
      <c r="B5" s="10"/>
      <c r="C5" s="10"/>
      <c r="D5" s="10"/>
      <c r="E5" s="10"/>
    </row>
    <row r="6" spans="1:5" ht="18" customHeight="1">
      <c r="A6" s="10" t="s">
        <v>195</v>
      </c>
      <c r="B6" s="10"/>
      <c r="C6" s="10"/>
      <c r="D6" s="10"/>
      <c r="E6" s="10"/>
    </row>
    <row r="8" spans="1:5" ht="33" customHeight="1">
      <c r="A8" s="12" t="s">
        <v>196</v>
      </c>
      <c r="B8" s="12"/>
      <c r="C8" s="12" t="s">
        <v>197</v>
      </c>
      <c r="D8" s="12" t="s">
        <v>198</v>
      </c>
      <c r="E8" s="12" t="s">
        <v>199</v>
      </c>
    </row>
    <row r="9" spans="1:5" ht="18" customHeight="1">
      <c r="A9" s="13" t="s">
        <v>200</v>
      </c>
      <c r="B9" s="13"/>
      <c r="C9" s="13" t="n">
        <v>20</v>
      </c>
      <c r="D9" s="13" t="n">
        <v>16</v>
      </c>
      <c r="E9" s="13" t="n">
        <v>19</v>
      </c>
    </row>
    <row r="10" spans="1:5" ht="18" customHeight="1">
      <c r="A10" s="13" t="s">
        <v>201</v>
      </c>
      <c r="B10" s="13"/>
      <c r="C10" s="13" t="n">
        <v>20</v>
      </c>
      <c r="D10" s="13" t="n">
        <v>15</v>
      </c>
      <c r="E10" s="13" t="n">
        <v>17</v>
      </c>
    </row>
    <row r="11" spans="1:5" ht="18" customHeight="1">
      <c r="A11" s="13" t="s">
        <v>202</v>
      </c>
      <c r="B11" s="13"/>
      <c r="C11" s="13" t="n">
        <v>10</v>
      </c>
      <c r="D11" s="13" t="n">
        <v>9</v>
      </c>
      <c r="E11" s="13" t="n">
        <v>6</v>
      </c>
    </row>
    <row r="12" spans="1:5" ht="18" customHeight="1">
      <c r="A12" s="14" t="s">
        <v>203</v>
      </c>
      <c r="B12" s="14"/>
      <c r="C12" s="14" t="n">
        <v>50</v>
      </c>
      <c r="D12" s="14" t="n">
        <v>40</v>
      </c>
      <c r="E12" s="14" t="n">
        <v>42</v>
      </c>
    </row>
    <row r="14" spans="1:5" ht="33" customHeight="1">
      <c r="A14" s="10" t="s">
        <v>204</v>
      </c>
      <c r="B14" s="10"/>
      <c r="C14" s="10"/>
      <c r="D14" s="10"/>
      <c r="E14" s="10"/>
    </row>
    <row r="15" spans="1:5" ht="33" customHeight="1">
      <c r="A15" s="10" t="s">
        <v>205</v>
      </c>
      <c r="B15" s="10"/>
      <c r="C15" s="10"/>
      <c r="D15" s="10"/>
      <c r="E15" s="10"/>
    </row>
    <row r="16" spans="1:5" ht="18" customHeight="1">
      <c r="A16" s="10" t="s">
        <v>206</v>
      </c>
      <c r="B16" s="10"/>
      <c r="C16" s="10"/>
      <c r="D16" s="10"/>
      <c r="E16" s="10"/>
    </row>
    <row r="18" spans="1:5" ht="18" customHeight="1">
      <c r="A18" s="12" t="s">
        <v>207</v>
      </c>
      <c r="B18" s="12" t="s">
        <v>208</v>
      </c>
      <c r="C18" s="12" t="s">
        <v>209</v>
      </c>
      <c r="D18" s="12" t="s">
        <v>210</v>
      </c>
      <c r="E18" s="12" t="s">
        <v>211</v>
      </c>
    </row>
    <row r="19" spans="1:5" ht="33" customHeight="1">
      <c r="A19" s="14" t="s">
        <v>212</v>
      </c>
      <c r="B19" s="13" t="s">
        <v>213</v>
      </c>
      <c r="C19" s="16" t="n">
        <v>2</v>
      </c>
      <c r="D19" s="17" t="str">
        <f>IF(C19="","",IF(ISNUMBER(C19),IF(ABS(C19-2)&lt;=0.01,"Đúng","Chưa đúng"),"Gõ một số"))</f>
        <v>Đúng</v>
      </c>
      <c r="E19" s="13" t="s">
        <v>164</v>
      </c>
    </row>
    <row r="20" spans="1:5" ht="18" customHeight="1">
      <c r="A20" s="14" t="s">
        <v>214</v>
      </c>
      <c r="B20" s="13" t="s">
        <v>215</v>
      </c>
      <c r="C20" s="18" t="n">
        <v>0.840000000000000036</v>
      </c>
      <c r="D20" s="17" t="str">
        <f>IF(C20="","",IF(ISNUMBER(C20),IF(OR(ABS(C20-0.84)&lt;=0.006,ABS(C20-84)&lt;=0.6),"Đúng","Chưa đúng"),"Gõ một số"))</f>
        <v>Đúng</v>
      </c>
      <c r="E20" s="13" t="s">
        <v>164</v>
      </c>
    </row>
    <row r="21" spans="1:5" ht="18" customHeight="1">
      <c r="A21" s="14" t="s">
        <v>216</v>
      </c>
      <c r="B21" s="13" t="s">
        <v>217</v>
      </c>
      <c r="C21" s="19" t="inlineStr">
        <is>
          <r>
            <t>Có</t>
          </r>
        </is>
      </c>
      <c r="D21" s="17" t="str">
        <f>IF(C21="","",IF(C21="Có","Đúng","Chưa đúng"))</f>
        <v>Đúng</v>
      </c>
      <c r="E21" s="13" t="s">
        <v>164</v>
      </c>
    </row>
    <row r="22" spans="1:5" ht="18" customHeight="1">
      <c r="A22" s="14" t="s">
        <v>218</v>
      </c>
      <c r="B22" s="13" t="s">
        <v>219</v>
      </c>
      <c r="C22" s="18" t="n">
        <v>0.6</v>
      </c>
      <c r="D22" s="17" t="str">
        <f>IF(C22="","",IF(ISNUMBER(C22),IF(OR(ABS(C22-0.6)&lt;=0.006,ABS(C22-60)&lt;=0.6),"Đúng","Chưa đúng"),"Gõ một số"))</f>
        <v>Đúng</v>
      </c>
      <c r="E22" s="13" t="s">
        <v>164</v>
      </c>
    </row>
    <row r="23" spans="1:5" ht="18" customHeight="1">
      <c r="A23" s="14" t="s">
        <v>220</v>
      </c>
      <c r="B23" s="13" t="s">
        <v>221</v>
      </c>
      <c r="C23" s="16" t="n">
        <v>30</v>
      </c>
      <c r="D23" s="17" t="str">
        <f>IF(C23="","",IF(ISNUMBER(C23),IF(ABS(C23-30)&lt;=0.01,"Đúng","Chưa đúng"),"Gõ một số"))</f>
        <v>Đúng</v>
      </c>
      <c r="E23" s="13" t="s">
        <v>164</v>
      </c>
    </row>
    <row r="24" spans="1:5" ht="18" customHeight="1">
      <c r="A24" s="14" t="s">
        <v>222</v>
      </c>
      <c r="B24" s="13" t="s">
        <v>223</v>
      </c>
      <c r="C24" s="19" t="inlineStr">
        <is>
          <r>
            <t>B</t>
          </r>
        </is>
      </c>
      <c r="D24" s="17" t="str">
        <f>IF(C24="","",IF(C24="B","Đúng","Chưa đúng"))</f>
        <v>Đúng</v>
      </c>
      <c r="E24" s="13" t="s">
        <v>164</v>
      </c>
    </row>
    <row r="25" spans="1:5" ht="33" customHeight="1">
      <c r="A25" s="14" t="s">
        <v>224</v>
      </c>
      <c r="B25" s="13" t="s">
        <v>225</v>
      </c>
      <c r="C25" s="19" t="inlineStr">
        <is>
          <r>
            <t>Khoảng 1.000 ca</t>
          </r>
        </is>
      </c>
      <c r="D25" s="17" t="str">
        <f>IF(C25="","",IF(C25="Khoảng 1.000 ca","Đúng","Chưa đúng"))</f>
        <v>Đúng</v>
      </c>
      <c r="E25" s="13" t="s">
        <v>164</v>
      </c>
    </row>
    <row r="26" spans="1:5" ht="33" customHeight="1">
      <c r="A26" s="14" t="s">
        <v>226</v>
      </c>
      <c r="B26" s="13" t="s">
        <v>227</v>
      </c>
      <c r="C26" s="19" t="inlineStr">
        <is>
          <r>
            <t>B</t>
          </r>
        </is>
      </c>
      <c r="D26" s="17" t="str">
        <f>IF(C26="","",IF(C26="B","Đúng","Chưa đúng"))</f>
        <v>Đúng</v>
      </c>
      <c r="E26" s="13" t="s">
        <v>179</v>
      </c>
    </row>
    <row r="27" spans="1:5" ht="33" customHeight="1">
      <c r="A27" s="14" t="s">
        <v>228</v>
      </c>
      <c r="B27" s="13" t="s">
        <v>229</v>
      </c>
      <c r="C27" s="19" t="inlineStr">
        <is>
          <r>
            <t>Trục 2</t>
          </r>
        </is>
      </c>
      <c r="D27" s="17" t="str">
        <f>IF(C27="","",IF(C27="Trục 2","Đúng","Chưa đúng"))</f>
        <v>Đúng</v>
      </c>
      <c r="E27" s="13" t="s">
        <v>179</v>
      </c>
    </row>
    <row r="29" spans="1:4" ht="18" customHeight="1">
      <c r="A29" s="14" t="s">
        <v>230</v>
      </c>
      <c r="B29" s="14"/>
      <c r="C29" s="20">
        <f>COUNTIF(D19:D27,"Đúng")</f>
        <v>9</v>
      </c>
      <c r="D29" s="13" t="s">
        <v>231</v>
      </c>
    </row>
  </sheetData>
  <sheetProtection password="C716" sheet="1" autoFilter="0"/>
  <mergeCells count="13">
    <mergeCell ref="A2:E2"/>
    <mergeCell ref="A4:E4"/>
    <mergeCell ref="A5:E5"/>
    <mergeCell ref="A6:E6"/>
    <mergeCell ref="A8:B8"/>
    <mergeCell ref="A9:B9"/>
    <mergeCell ref="A10:B10"/>
    <mergeCell ref="A11:B11"/>
    <mergeCell ref="A12:B12"/>
    <mergeCell ref="A14:E14"/>
    <mergeCell ref="A15:E15"/>
    <mergeCell ref="A16:E16"/>
    <mergeCell ref="A29:B29"/>
  </mergeCells>
  <dataValidations count="5">
    <dataValidation sqref="C21" type="list" operator="between" errorStyle="stop" allowBlank="1" view="0">
      <formula1>_ds!$A$1:$A$2</formula1>
    </dataValidation>
    <dataValidation sqref="C24" type="list" operator="between" errorStyle="stop" allowBlank="1" view="0">
      <formula1>_ds!$B$1:$B$3</formula1>
    </dataValidation>
    <dataValidation sqref="C25" type="list" operator="between" errorStyle="stop" allowBlank="1" view="0">
      <formula1>_ds!$C$1:$C$3</formula1>
    </dataValidation>
    <dataValidation sqref="C26" type="list" operator="between" errorStyle="stop" allowBlank="1" view="0">
      <formula1>_ds!$B$1:$B$3</formula1>
    </dataValidation>
    <dataValidation sqref="C27" type="list" operator="between" errorStyle="stop" allowBlank="1" view="0">
      <formula1>_ds!$D$1:$D$3</formula1>
    </dataValidation>
  </dataValidations>
  <printOptions>
    <extLst>
      <ext uri="smNativeData">
        <pm:pageFlags xmlns:pm="smNativeData" id="1792144992" printRowHead="0" printColHead="0" printHeadLine="1" printFootLine="1" autoHeightHeader="0" autoHeightFooter="0" fitToPageBoth="1"/>
      </ext>
    </extLst>
  </printOptions>
  <pageMargins left="0.750000" right="0.750000" top="1.000000" bottom="1.000000" header="0.511806" footer="0.511806"/>
  <pageSetup paperSize="9" fitToWidth="1" fitToHeight="0" orientation="landscape" cellComments="asDisplayed"/>
  <headerFooter>
    <extLst>
      <ext uri="smNativeData">
        <pm:header xmlns:pm="smNativeData" id="1792144992" l="56" r="56" t="56" b="56" borderId="0" fillId="0" vertical="0"/>
        <pm:footer xmlns:pm="smNativeData" id="1792144992" l="56" r="56" t="56" b="56" borderId="0" fillId="0" vertical="2"/>
        <pm:paperBin xmlns:pm="smNativeData" id="1792144992" Id="0" type="0" value="0"/>
        <pm:paperBin xmlns:pm="smNativeData" id="1792144992" Id="1" type="0" value="0"/>
      </ext>
    </extLst>
  </headerFooter>
  <extLst>
    <ext uri="smNativeData">
      <pm:sheetPrefs xmlns:pm="smNativeData" day="1792144992" outlineProtect="1" showHorizontalRuler="1" showVerticalRuler="1" showAltShade="0">
        <pm:shade id="0" type="0" fgLvl="100" fgClr="000000" bgLvl="100" bgClr="FFFFFF"/>
        <pm:shade id="1" type="0" fgLvl="100" fgClr="000000" bgLvl="100" bgClr="FFFFFF"/>
      </pm:sheetPrefs>
    </ext>
  </extLst>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1"/>
  </sheetPr>
  <dimension ref="A1:E25"/>
  <sheetViews>
    <sheetView view="normal" workbookViewId="0">
      <selection activeCell="A1" sqref="A1"/>
    </sheetView>
  </sheetViews>
  <sheetFormatPr defaultRowHeight="15.40"/>
  <cols>
    <col min="1" max="1" width="7.000000" customWidth="1" style="6"/>
    <col min="2" max="2" width="70.000000" customWidth="1" style="6"/>
    <col min="3" max="3" width="22.000000" customWidth="1" style="6"/>
    <col min="4" max="4" width="14.000000" customWidth="1" style="6"/>
    <col min="5" max="5" width="13.000000" customWidth="1" style="6"/>
  </cols>
  <sheetData>
    <row r="1" spans="1:1">
      <c r="A1" s="7" t="s">
        <v>232</v>
      </c>
    </row>
    <row r="2" spans="1:5" ht="18" customHeight="1">
      <c r="A2" s="8" t="s">
        <v>192</v>
      </c>
      <c r="B2" s="8"/>
      <c r="C2" s="8"/>
      <c r="D2" s="8"/>
      <c r="E2" s="8"/>
    </row>
    <row r="4" spans="1:5" ht="18" customHeight="1">
      <c r="A4" s="10" t="s">
        <v>233</v>
      </c>
      <c r="B4" s="10"/>
      <c r="C4" s="10"/>
      <c r="D4" s="10"/>
      <c r="E4" s="10"/>
    </row>
    <row r="5" spans="1:5" ht="18" customHeight="1">
      <c r="A5" s="10" t="s">
        <v>234</v>
      </c>
      <c r="B5" s="10"/>
      <c r="C5" s="10"/>
      <c r="D5" s="10"/>
      <c r="E5" s="10"/>
    </row>
    <row r="7" spans="1:5" ht="33" customHeight="1">
      <c r="A7" s="10" t="s">
        <v>235</v>
      </c>
      <c r="B7" s="10"/>
      <c r="C7" s="10"/>
      <c r="D7" s="10"/>
      <c r="E7" s="10"/>
    </row>
    <row r="9" spans="1:5" ht="18" customHeight="1">
      <c r="A9" s="12" t="s">
        <v>207</v>
      </c>
      <c r="B9" s="12" t="s">
        <v>208</v>
      </c>
      <c r="C9" s="12" t="s">
        <v>209</v>
      </c>
      <c r="D9" s="12" t="s">
        <v>210</v>
      </c>
      <c r="E9" s="12" t="s">
        <v>211</v>
      </c>
    </row>
    <row r="10" spans="1:5" ht="18" customHeight="1">
      <c r="A10" s="14" t="s">
        <v>236</v>
      </c>
      <c r="B10" s="13" t="s">
        <v>237</v>
      </c>
      <c r="C10" s="19" t="inlineStr">
        <is>
          <r>
            <t>Không</t>
          </r>
        </is>
      </c>
      <c r="D10" s="17" t="str">
        <f>IF(C10="","",IF(C10="Không","Đúng","Chưa đúng"))</f>
        <v>Đúng</v>
      </c>
      <c r="E10" s="13" t="s">
        <v>188</v>
      </c>
    </row>
    <row r="11" spans="1:5" ht="33" customHeight="1">
      <c r="A11" s="14" t="s">
        <v>238</v>
      </c>
      <c r="B11" s="13" t="s">
        <v>239</v>
      </c>
      <c r="C11" s="19" t="inlineStr">
        <is>
          <r>
            <t>Có</t>
          </r>
        </is>
      </c>
      <c r="D11" s="17" t="str">
        <f>IF(C11="","",IF(C11="Có","Đúng","Chưa đúng"))</f>
        <v>Đúng</v>
      </c>
      <c r="E11" s="13" t="s">
        <v>188</v>
      </c>
    </row>
    <row r="12" spans="1:5" ht="18" customHeight="1">
      <c r="A12" s="14" t="s">
        <v>240</v>
      </c>
      <c r="B12" s="13" t="s">
        <v>241</v>
      </c>
      <c r="C12" s="19" t="inlineStr">
        <is>
          <r>
            <t>Không</t>
          </r>
        </is>
      </c>
      <c r="D12" s="17" t="str">
        <f>IF(C12="","",IF(C12="Không","Đúng","Chưa đúng"))</f>
        <v>Đúng</v>
      </c>
      <c r="E12" s="13" t="s">
        <v>188</v>
      </c>
    </row>
    <row r="13" spans="1:5" ht="33" customHeight="1">
      <c r="A13" s="14" t="s">
        <v>242</v>
      </c>
      <c r="B13" s="13" t="s">
        <v>243</v>
      </c>
      <c r="C13" s="19" t="inlineStr">
        <is>
          <r>
            <t>Có</t>
          </r>
        </is>
      </c>
      <c r="D13" s="17" t="str">
        <f>IF(C13="","",IF(C13="Có","Đúng","Chưa đúng"))</f>
        <v>Đúng</v>
      </c>
      <c r="E13" s="13" t="s">
        <v>188</v>
      </c>
    </row>
    <row r="14" spans="1:5" ht="33" customHeight="1">
      <c r="A14" s="14" t="s">
        <v>244</v>
      </c>
      <c r="B14" s="13" t="s">
        <v>245</v>
      </c>
      <c r="C14" s="19" t="inlineStr">
        <is>
          <r>
            <t>Có</t>
          </r>
        </is>
      </c>
      <c r="D14" s="17" t="str">
        <f>IF(C14="","",IF(C14="Có","Đúng","Chưa đúng"))</f>
        <v>Đúng</v>
      </c>
      <c r="E14" s="13" t="s">
        <v>188</v>
      </c>
    </row>
    <row r="15" spans="1:5" ht="33" customHeight="1">
      <c r="A15" s="14" t="s">
        <v>246</v>
      </c>
      <c r="B15" s="13" t="s">
        <v>247</v>
      </c>
      <c r="C15" s="19" t="inlineStr">
        <is>
          <r>
            <t>Không</t>
          </r>
        </is>
      </c>
      <c r="D15" s="17" t="str">
        <f>IF(C15="","",IF(C15="Không","Đúng","Chưa đúng"))</f>
        <v>Đúng</v>
      </c>
      <c r="E15" s="13" t="s">
        <v>188</v>
      </c>
    </row>
    <row r="16" spans="1:5" ht="48" customHeight="1">
      <c r="A16" s="14" t="s">
        <v>248</v>
      </c>
      <c r="B16" s="13" t="s">
        <v>249</v>
      </c>
      <c r="C16" s="16" t="n">
        <v>36</v>
      </c>
      <c r="D16" s="17" t="str">
        <f>IF(C16="","",IF(ISNUMBER(C16),IF(ABS(C16-36)&lt;=0.01,"Đúng","Chưa đúng"),"Gõ một số"))</f>
        <v>Đúng</v>
      </c>
      <c r="E16" s="13" t="s">
        <v>250</v>
      </c>
    </row>
    <row r="17" spans="1:5" ht="18" customHeight="1">
      <c r="A17" s="14" t="s">
        <v>251</v>
      </c>
      <c r="B17" s="13" t="s">
        <v>252</v>
      </c>
      <c r="C17" s="16" t="n">
        <v>24</v>
      </c>
      <c r="D17" s="17" t="str">
        <f>IF(C17="","",IF(ISNUMBER(C17),IF(ABS(C17-24)&lt;=0.01,"Đúng","Chưa đúng"),"Gõ một số"))</f>
        <v>Đúng</v>
      </c>
      <c r="E17" s="13" t="s">
        <v>250</v>
      </c>
    </row>
    <row r="18" spans="1:5" ht="33" customHeight="1">
      <c r="A18" s="14" t="s">
        <v>253</v>
      </c>
      <c r="B18" s="13" t="s">
        <v>254</v>
      </c>
      <c r="C18" s="16" t="n">
        <v>48</v>
      </c>
      <c r="D18" s="17" t="str">
        <f>IF(C18="","",IF(ISNUMBER(C18),IF(ABS(C18-48)&lt;=0.01,"Đúng","Chưa đúng"),"Gõ một số"))</f>
        <v>Đúng</v>
      </c>
      <c r="E18" s="13" t="s">
        <v>250</v>
      </c>
    </row>
    <row r="19" spans="1:5" ht="33" customHeight="1">
      <c r="A19" s="14" t="s">
        <v>255</v>
      </c>
      <c r="B19" s="13" t="s">
        <v>256</v>
      </c>
      <c r="C19" s="19" t="inlineStr">
        <is>
          <r>
            <t>Đại diện</t>
          </r>
        </is>
      </c>
      <c r="D19" s="17" t="str">
        <f>IF(C19="","",IF(C19="Đại diện","Đúng","Chưa đúng"))</f>
        <v>Đúng</v>
      </c>
      <c r="E19" s="13" t="s">
        <v>257</v>
      </c>
    </row>
    <row r="20" spans="1:5" ht="33" customHeight="1">
      <c r="A20" s="14" t="s">
        <v>258</v>
      </c>
      <c r="B20" s="13" t="s">
        <v>259</v>
      </c>
      <c r="C20" s="19" t="inlineStr">
        <is>
          <r>
            <t>Thử thách</t>
          </r>
        </is>
      </c>
      <c r="D20" s="17" t="str">
        <f>IF(C20="","",IF(C20="Thử thách","Đúng","Chưa đúng"))</f>
        <v>Đúng</v>
      </c>
      <c r="E20" s="13" t="s">
        <v>257</v>
      </c>
    </row>
    <row r="21" spans="1:5" ht="33" customHeight="1">
      <c r="A21" s="14" t="s">
        <v>260</v>
      </c>
      <c r="B21" s="13" t="s">
        <v>261</v>
      </c>
      <c r="C21" s="19" t="inlineStr">
        <is>
          <r>
            <t>Thử thách</t>
          </r>
        </is>
      </c>
      <c r="D21" s="17" t="str">
        <f>IF(C21="","",IF(C21="Thử thách","Đúng","Chưa đúng"))</f>
        <v>Đúng</v>
      </c>
      <c r="E21" s="13" t="s">
        <v>257</v>
      </c>
    </row>
    <row r="22" spans="1:5" ht="48" customHeight="1">
      <c r="A22" s="14" t="s">
        <v>262</v>
      </c>
      <c r="B22" s="13" t="s">
        <v>263</v>
      </c>
      <c r="C22" s="19" t="inlineStr">
        <is>
          <r>
            <t>Hồi quy nghiêm trọng</t>
          </r>
        </is>
      </c>
      <c r="D22" s="17" t="str">
        <f>IF(C22="","",IF(C22="Hồi quy nghiêm trọng","Đúng","Chưa đúng"))</f>
        <v>Đúng</v>
      </c>
      <c r="E22" s="13" t="s">
        <v>257</v>
      </c>
    </row>
    <row r="23" spans="1:5" ht="18" customHeight="1">
      <c r="A23" s="14" t="s">
        <v>264</v>
      </c>
      <c r="B23" s="13" t="s">
        <v>265</v>
      </c>
      <c r="C23" s="19" t="inlineStr">
        <is>
          <r>
            <t>B</t>
          </r>
        </is>
      </c>
      <c r="D23" s="17" t="str">
        <f>IF(C23="","",IF(C23="B","Đúng","Chưa đúng"))</f>
        <v>Đúng</v>
      </c>
      <c r="E23" s="13" t="s">
        <v>185</v>
      </c>
    </row>
    <row r="25" spans="1:4" ht="18" customHeight="1">
      <c r="A25" s="14" t="s">
        <v>230</v>
      </c>
      <c r="B25" s="14"/>
      <c r="C25" s="20">
        <f>COUNTIF(D10:D23,"Đúng")</f>
        <v>14</v>
      </c>
      <c r="D25" s="13" t="s">
        <v>266</v>
      </c>
    </row>
  </sheetData>
  <sheetProtection password="C716" sheet="1" autoFilter="0"/>
  <mergeCells count="5">
    <mergeCell ref="A2:E2"/>
    <mergeCell ref="A4:E4"/>
    <mergeCell ref="A5:E5"/>
    <mergeCell ref="A7:E7"/>
    <mergeCell ref="A25:B25"/>
  </mergeCells>
  <dataValidations count="11">
    <dataValidation sqref="C10" type="list" operator="between" errorStyle="stop" allowBlank="1" view="0">
      <formula1>_ds!$A$1:$A$2</formula1>
    </dataValidation>
    <dataValidation sqref="C11" type="list" operator="between" errorStyle="stop" allowBlank="1" view="0">
      <formula1>_ds!$A$1:$A$2</formula1>
    </dataValidation>
    <dataValidation sqref="C12" type="list" operator="between" errorStyle="stop" allowBlank="1" view="0">
      <formula1>_ds!$A$1:$A$2</formula1>
    </dataValidation>
    <dataValidation sqref="C13" type="list" operator="between" errorStyle="stop" allowBlank="1" view="0">
      <formula1>_ds!$A$1:$A$2</formula1>
    </dataValidation>
    <dataValidation sqref="C14" type="list" operator="between" errorStyle="stop" allowBlank="1" view="0">
      <formula1>_ds!$A$1:$A$2</formula1>
    </dataValidation>
    <dataValidation sqref="C15" type="list" operator="between" errorStyle="stop" allowBlank="1" view="0">
      <formula1>_ds!$A$1:$A$2</formula1>
    </dataValidation>
    <dataValidation sqref="C19" type="list" operator="between" errorStyle="stop" allowBlank="1" view="0">
      <formula1>_ds!$E$1:$E$3</formula1>
    </dataValidation>
    <dataValidation sqref="C20" type="list" operator="between" errorStyle="stop" allowBlank="1" view="0">
      <formula1>_ds!$E$1:$E$3</formula1>
    </dataValidation>
    <dataValidation sqref="C21" type="list" operator="between" errorStyle="stop" allowBlank="1" view="0">
      <formula1>_ds!$E$1:$E$3</formula1>
    </dataValidation>
    <dataValidation sqref="C22" type="list" operator="between" errorStyle="stop" allowBlank="1" view="0">
      <formula1>_ds!$E$1:$E$3</formula1>
    </dataValidation>
    <dataValidation sqref="C23" type="list" operator="between" errorStyle="stop" allowBlank="1" view="0">
      <formula1>_ds!$B$1:$B$3</formula1>
    </dataValidation>
  </dataValidations>
  <printOptions>
    <extLst>
      <ext uri="smNativeData">
        <pm:pageFlags xmlns:pm="smNativeData" id="1792144992" printRowHead="0" printColHead="0" printHeadLine="1" printFootLine="1" autoHeightHeader="0" autoHeightFooter="0" fitToPageBoth="1"/>
      </ext>
    </extLst>
  </printOptions>
  <pageMargins left="0.750000" right="0.750000" top="1.000000" bottom="1.000000" header="0.511806" footer="0.511806"/>
  <pageSetup paperSize="9" fitToWidth="1" fitToHeight="0" orientation="landscape" cellComments="asDisplayed"/>
  <headerFooter>
    <extLst>
      <ext uri="smNativeData">
        <pm:header xmlns:pm="smNativeData" id="1792144992" l="56" r="56" t="56" b="56" borderId="0" fillId="0" vertical="0"/>
        <pm:footer xmlns:pm="smNativeData" id="1792144992" l="56" r="56" t="56" b="56" borderId="0" fillId="0" vertical="2"/>
        <pm:paperBin xmlns:pm="smNativeData" id="1792144992" Id="0" type="0" value="0"/>
        <pm:paperBin xmlns:pm="smNativeData" id="1792144992" Id="1" type="0" value="0"/>
      </ext>
    </extLst>
  </headerFooter>
  <extLst>
    <ext uri="smNativeData">
      <pm:sheetPrefs xmlns:pm="smNativeData" day="1792144992" outlineProtect="1" showHorizontalRuler="1" showVerticalRuler="1" showAltShade="0">
        <pm:shade id="0" type="0" fgLvl="100" fgClr="000000" bgLvl="100" bgClr="FFFFFF"/>
        <pm:shade id="1" type="0" fgLvl="100" fgClr="000000" bgLvl="100" bgClr="FFFFFF"/>
      </pm:sheetPrefs>
    </ext>
  </extLst>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1"/>
  </sheetPr>
  <dimension ref="A1:E39"/>
  <sheetViews>
    <sheetView view="normal" workbookViewId="0">
      <selection activeCell="A1" sqref="A1"/>
    </sheetView>
  </sheetViews>
  <sheetFormatPr defaultRowHeight="15.40"/>
  <cols>
    <col min="1" max="1" width="7.000000" customWidth="1" style="6"/>
    <col min="2" max="2" width="70.000000" customWidth="1" style="6"/>
    <col min="3" max="3" width="22.000000" customWidth="1" style="6"/>
    <col min="4" max="4" width="14.000000" customWidth="1" style="6"/>
    <col min="5" max="5" width="13.000000" customWidth="1" style="6"/>
  </cols>
  <sheetData>
    <row r="1" spans="1:1">
      <c r="A1" s="7" t="s">
        <v>267</v>
      </c>
    </row>
    <row r="2" spans="1:5" ht="18" customHeight="1">
      <c r="A2" s="8" t="s">
        <v>192</v>
      </c>
      <c r="B2" s="8"/>
      <c r="C2" s="8"/>
      <c r="D2" s="8"/>
      <c r="E2" s="8"/>
    </row>
    <row r="4" spans="1:5" ht="33" customHeight="1">
      <c r="A4" s="10" t="s">
        <v>268</v>
      </c>
      <c r="B4" s="10"/>
      <c r="C4" s="10"/>
      <c r="D4" s="10"/>
      <c r="E4" s="10"/>
    </row>
    <row r="5" spans="1:5" ht="18" customHeight="1">
      <c r="A5" s="10" t="s">
        <v>269</v>
      </c>
      <c r="B5" s="10"/>
      <c r="C5" s="10"/>
      <c r="D5" s="10"/>
      <c r="E5" s="10"/>
    </row>
    <row r="7" spans="1:5" ht="18" customHeight="1">
      <c r="A7" s="12" t="s">
        <v>270</v>
      </c>
      <c r="B7" s="12" t="s">
        <v>271</v>
      </c>
      <c r="C7" s="12"/>
      <c r="D7" s="12"/>
      <c r="E7" s="12"/>
    </row>
    <row r="8" spans="1:5" ht="18" customHeight="1">
      <c r="A8" s="14" t="s">
        <v>272</v>
      </c>
      <c r="B8" s="13" t="s">
        <v>273</v>
      </c>
      <c r="C8" s="13"/>
      <c r="D8" s="13"/>
      <c r="E8" s="13"/>
    </row>
    <row r="9" spans="1:5" ht="18" customHeight="1">
      <c r="A9" s="14"/>
      <c r="B9" s="13" t="s">
        <v>274</v>
      </c>
      <c r="C9" s="13"/>
      <c r="D9" s="13"/>
      <c r="E9" s="13"/>
    </row>
    <row r="10" spans="1:5" ht="18" customHeight="1">
      <c r="A10" s="14"/>
      <c r="B10" s="13" t="s">
        <v>275</v>
      </c>
      <c r="C10" s="13"/>
      <c r="D10" s="13"/>
      <c r="E10" s="13"/>
    </row>
    <row r="11" spans="1:5" ht="18" customHeight="1">
      <c r="A11" s="14"/>
      <c r="B11" s="13" t="s">
        <v>276</v>
      </c>
      <c r="C11" s="13"/>
      <c r="D11" s="13"/>
      <c r="E11" s="13"/>
    </row>
    <row r="12" spans="1:5" ht="18" customHeight="1">
      <c r="A12" s="14"/>
      <c r="B12" s="13" t="s">
        <v>277</v>
      </c>
      <c r="C12" s="13"/>
      <c r="D12" s="13"/>
      <c r="E12" s="13"/>
    </row>
    <row r="13" spans="1:5" ht="18" customHeight="1">
      <c r="A13" s="14" t="s">
        <v>278</v>
      </c>
      <c r="B13" s="13" t="s">
        <v>279</v>
      </c>
      <c r="C13" s="13"/>
      <c r="D13" s="13"/>
      <c r="E13" s="13"/>
    </row>
    <row r="14" spans="1:5" ht="18" customHeight="1">
      <c r="A14" s="14"/>
      <c r="B14" s="13" t="s">
        <v>280</v>
      </c>
      <c r="C14" s="13"/>
      <c r="D14" s="13"/>
      <c r="E14" s="13"/>
    </row>
    <row r="15" spans="1:5" ht="18" customHeight="1">
      <c r="A15" s="14"/>
      <c r="B15" s="13" t="s">
        <v>281</v>
      </c>
      <c r="C15" s="13"/>
      <c r="D15" s="13"/>
      <c r="E15" s="13"/>
    </row>
    <row r="16" spans="1:5" ht="18" customHeight="1">
      <c r="A16" s="14"/>
      <c r="B16" s="13" t="s">
        <v>282</v>
      </c>
      <c r="C16" s="13"/>
      <c r="D16" s="13"/>
      <c r="E16" s="13"/>
    </row>
    <row r="17" spans="1:5" ht="18" customHeight="1">
      <c r="A17" s="14" t="s">
        <v>283</v>
      </c>
      <c r="B17" s="13" t="s">
        <v>284</v>
      </c>
      <c r="C17" s="13"/>
      <c r="D17" s="13"/>
      <c r="E17" s="13"/>
    </row>
    <row r="18" spans="1:5" ht="18" customHeight="1">
      <c r="A18" s="14"/>
      <c r="B18" s="13" t="s">
        <v>285</v>
      </c>
      <c r="C18" s="13"/>
      <c r="D18" s="13"/>
      <c r="E18" s="13"/>
    </row>
    <row r="19" spans="1:5" ht="18" customHeight="1">
      <c r="A19" s="14"/>
      <c r="B19" s="13" t="s">
        <v>286</v>
      </c>
      <c r="C19" s="13"/>
      <c r="D19" s="13"/>
      <c r="E19" s="13"/>
    </row>
    <row r="20" spans="1:5" ht="18" customHeight="1">
      <c r="A20" s="14"/>
      <c r="B20" s="13" t="s">
        <v>287</v>
      </c>
      <c r="C20" s="13"/>
      <c r="D20" s="13"/>
      <c r="E20" s="13"/>
    </row>
    <row r="21" spans="1:5" ht="18" customHeight="1">
      <c r="A21" s="14" t="s">
        <v>288</v>
      </c>
      <c r="B21" s="13" t="s">
        <v>289</v>
      </c>
      <c r="C21" s="13"/>
      <c r="D21" s="13"/>
      <c r="E21" s="13"/>
    </row>
    <row r="22" spans="1:5" ht="18" customHeight="1">
      <c r="A22" s="14"/>
      <c r="B22" s="13" t="s">
        <v>290</v>
      </c>
      <c r="C22" s="13"/>
      <c r="D22" s="13"/>
      <c r="E22" s="13"/>
    </row>
    <row r="23" spans="1:5" ht="18" customHeight="1">
      <c r="A23" s="14"/>
      <c r="B23" s="13" t="s">
        <v>291</v>
      </c>
      <c r="C23" s="13"/>
      <c r="D23" s="13"/>
      <c r="E23" s="13"/>
    </row>
    <row r="24" spans="1:5" ht="18" customHeight="1">
      <c r="A24" s="14"/>
      <c r="B24" s="13" t="s">
        <v>292</v>
      </c>
      <c r="C24" s="13"/>
      <c r="D24" s="13"/>
      <c r="E24" s="13"/>
    </row>
    <row r="26" spans="1:5" ht="33" customHeight="1">
      <c r="A26" s="10" t="s">
        <v>293</v>
      </c>
      <c r="B26" s="10"/>
      <c r="C26" s="10"/>
      <c r="D26" s="10"/>
      <c r="E26" s="10"/>
    </row>
    <row r="28" spans="1:5" ht="18" customHeight="1">
      <c r="A28" s="12" t="s">
        <v>207</v>
      </c>
      <c r="B28" s="12" t="s">
        <v>208</v>
      </c>
      <c r="C28" s="12" t="s">
        <v>209</v>
      </c>
      <c r="D28" s="12" t="s">
        <v>210</v>
      </c>
      <c r="E28" s="12" t="s">
        <v>211</v>
      </c>
    </row>
    <row r="29" spans="1:5" ht="18" customHeight="1">
      <c r="A29" s="14" t="s">
        <v>294</v>
      </c>
      <c r="B29" s="13" t="s">
        <v>295</v>
      </c>
      <c r="C29" s="16" t="n">
        <v>2</v>
      </c>
      <c r="D29" s="17" t="str">
        <f>IF(C29="","",IF(ISNUMBER(C29),IF(ABS(C29-2)&lt;=0.01,"Đúng","Chưa đúng"),"Gõ một số"))</f>
        <v>Đúng</v>
      </c>
      <c r="E29" s="13" t="s">
        <v>296</v>
      </c>
    </row>
    <row r="30" spans="1:5" ht="33" customHeight="1">
      <c r="A30" s="14" t="s">
        <v>297</v>
      </c>
      <c r="B30" s="13" t="s">
        <v>298</v>
      </c>
      <c r="C30" s="19" t="inlineStr">
        <is>
          <r>
            <t>wrong_intent</t>
          </r>
        </is>
      </c>
      <c r="D30" s="17" t="str">
        <f>IF(C30="","",IF(C30="wrong_intent","Đúng","Chưa đúng"))</f>
        <v>Đúng</v>
      </c>
      <c r="E30" s="13" t="s">
        <v>299</v>
      </c>
    </row>
    <row r="31" spans="1:5" ht="18" customHeight="1">
      <c r="A31" s="14" t="s">
        <v>300</v>
      </c>
      <c r="B31" s="13" t="s">
        <v>301</v>
      </c>
      <c r="C31" s="16" t="n">
        <v>3</v>
      </c>
      <c r="D31" s="17" t="str">
        <f>IF(C31="","",IF(ISNUMBER(C31),IF(ABS(C31-3)&lt;=0.01,"Đúng","Chưa đúng"),"Gõ một số"))</f>
        <v>Đúng</v>
      </c>
      <c r="E31" s="13" t="s">
        <v>296</v>
      </c>
    </row>
    <row r="32" spans="1:5" ht="33" customHeight="1">
      <c r="A32" s="14" t="s">
        <v>302</v>
      </c>
      <c r="B32" s="13" t="s">
        <v>303</v>
      </c>
      <c r="C32" s="19" t="inlineStr">
        <is>
          <r>
            <t>missing_lookup</t>
          </r>
        </is>
      </c>
      <c r="D32" s="17" t="str">
        <f>IF(C32="","",IF(C32="missing_lookup","Đúng","Chưa đúng"))</f>
        <v>Đúng</v>
      </c>
      <c r="E32" s="13" t="s">
        <v>299</v>
      </c>
    </row>
    <row r="33" spans="1:5" ht="18" customHeight="1">
      <c r="A33" s="14" t="s">
        <v>304</v>
      </c>
      <c r="B33" s="13" t="s">
        <v>305</v>
      </c>
      <c r="C33" s="16" t="n">
        <v>4</v>
      </c>
      <c r="D33" s="17" t="str">
        <f>IF(C33="","",IF(ISNUMBER(C33),IF(ABS(C33-4)&lt;=0.01,"Đúng","Chưa đúng"),"Gõ một số"))</f>
        <v>Đúng</v>
      </c>
      <c r="E33" s="13" t="s">
        <v>296</v>
      </c>
    </row>
    <row r="34" spans="1:5" ht="33" customHeight="1">
      <c r="A34" s="14" t="s">
        <v>306</v>
      </c>
      <c r="B34" s="13" t="s">
        <v>307</v>
      </c>
      <c r="C34" s="19" t="inlineStr">
        <is>
          <r>
            <t>missing_escalation</t>
          </r>
        </is>
      </c>
      <c r="D34" s="17" t="str">
        <f>IF(C34="","",IF(C34="missing_escalation","Đúng","Chưa đúng"))</f>
        <v>Đúng</v>
      </c>
      <c r="E34" s="13" t="s">
        <v>299</v>
      </c>
    </row>
    <row r="35" spans="1:5" ht="18" customHeight="1">
      <c r="A35" s="14" t="s">
        <v>308</v>
      </c>
      <c r="B35" s="13" t="s">
        <v>309</v>
      </c>
      <c r="C35" s="16" t="n">
        <v>4</v>
      </c>
      <c r="D35" s="17" t="str">
        <f>IF(C35="","",IF(ISNUMBER(C35),IF(ABS(C35-4)&lt;=0.01,"Đúng","Chưa đúng"),"Gõ một số"))</f>
        <v>Đúng</v>
      </c>
      <c r="E35" s="13" t="s">
        <v>296</v>
      </c>
    </row>
    <row r="36" spans="1:5" ht="33" customHeight="1">
      <c r="A36" s="14" t="s">
        <v>310</v>
      </c>
      <c r="B36" s="13" t="s">
        <v>311</v>
      </c>
      <c r="C36" s="19" t="inlineStr">
        <is>
          <r>
            <t>no_next_step</t>
          </r>
        </is>
      </c>
      <c r="D36" s="17" t="str">
        <f>IF(C36="","",IF(C36="no_next_step","Đúng","Chưa đúng"))</f>
        <v>Đúng</v>
      </c>
      <c r="E36" s="13" t="s">
        <v>299</v>
      </c>
    </row>
    <row r="37" spans="1:5" ht="18" customHeight="1">
      <c r="A37" s="14" t="s">
        <v>312</v>
      </c>
      <c r="B37" s="13" t="s">
        <v>313</v>
      </c>
      <c r="C37" s="19" t="inlineStr">
        <is>
          <r>
            <t>A</t>
          </r>
        </is>
      </c>
      <c r="D37" s="17" t="str">
        <f>IF(C37="","",IF(C37="A","Đúng","Chưa đúng"))</f>
        <v>Đúng</v>
      </c>
      <c r="E37" s="13" t="s">
        <v>314</v>
      </c>
    </row>
    <row r="39" spans="1:4" ht="18" customHeight="1">
      <c r="A39" s="14" t="s">
        <v>230</v>
      </c>
      <c r="B39" s="14"/>
      <c r="C39" s="20">
        <f>COUNTIF(D29:D37,"Đúng")</f>
        <v>9</v>
      </c>
      <c r="D39" s="13" t="s">
        <v>231</v>
      </c>
    </row>
  </sheetData>
  <sheetProtection password="C716" sheet="1" autoFilter="0"/>
  <mergeCells count="23">
    <mergeCell ref="A2:E2"/>
    <mergeCell ref="A4:E4"/>
    <mergeCell ref="A5:E5"/>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A26:E26"/>
    <mergeCell ref="A39:B39"/>
  </mergeCells>
  <dataValidations count="5">
    <dataValidation sqref="C30" type="list" operator="between" errorStyle="stop" allowBlank="1" view="0">
      <formula1>_ds!$F$1:$F$5</formula1>
    </dataValidation>
    <dataValidation sqref="C32" type="list" operator="between" errorStyle="stop" allowBlank="1" view="0">
      <formula1>_ds!$F$1:$F$5</formula1>
    </dataValidation>
    <dataValidation sqref="C34" type="list" operator="between" errorStyle="stop" allowBlank="1" view="0">
      <formula1>_ds!$F$1:$F$5</formula1>
    </dataValidation>
    <dataValidation sqref="C36" type="list" operator="between" errorStyle="stop" allowBlank="1" view="0">
      <formula1>_ds!$F$1:$F$5</formula1>
    </dataValidation>
    <dataValidation sqref="C37" type="list" operator="between" errorStyle="stop" allowBlank="1" view="0">
      <formula1>_ds!$B$1:$B$3</formula1>
    </dataValidation>
  </dataValidations>
  <printOptions>
    <extLst>
      <ext uri="smNativeData">
        <pm:pageFlags xmlns:pm="smNativeData" id="1792144992" printRowHead="0" printColHead="0" printHeadLine="1" printFootLine="1" autoHeightHeader="0" autoHeightFooter="0" fitToPageBoth="1"/>
      </ext>
    </extLst>
  </printOptions>
  <pageMargins left="0.750000" right="0.750000" top="1.000000" bottom="1.000000" header="0.511806" footer="0.511806"/>
  <pageSetup paperSize="9" fitToWidth="1" fitToHeight="0" orientation="landscape" cellComments="asDisplayed"/>
  <headerFooter>
    <extLst>
      <ext uri="smNativeData">
        <pm:header xmlns:pm="smNativeData" id="1792144992" l="56" r="56" t="56" b="56" borderId="0" fillId="0" vertical="0"/>
        <pm:footer xmlns:pm="smNativeData" id="1792144992" l="56" r="56" t="56" b="56" borderId="0" fillId="0" vertical="2"/>
        <pm:paperBin xmlns:pm="smNativeData" id="1792144992" Id="0" type="0" value="0"/>
        <pm:paperBin xmlns:pm="smNativeData" id="1792144992" Id="1" type="0" value="0"/>
      </ext>
    </extLst>
  </headerFooter>
  <extLst>
    <ext uri="smNativeData">
      <pm:sheetPrefs xmlns:pm="smNativeData" day="1792144992" outlineProtect="1" showHorizontalRuler="1" showVerticalRuler="1" showAltShade="0">
        <pm:shade id="0" type="0" fgLvl="100" fgClr="000000" bgLvl="100" bgClr="FFFFFF"/>
        <pm:shade id="1" type="0" fgLvl="100" fgClr="000000" bgLvl="100" bgClr="FFFFFF"/>
      </pm:sheetPrefs>
    </ext>
  </extLst>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fitToPage="1"/>
  </sheetPr>
  <dimension ref="A1:E33"/>
  <sheetViews>
    <sheetView view="normal" workbookViewId="0">
      <selection activeCell="A1" sqref="A1"/>
    </sheetView>
  </sheetViews>
  <sheetFormatPr defaultRowHeight="15.40"/>
  <cols>
    <col min="1" max="1" width="7.000000" customWidth="1" style="6"/>
    <col min="2" max="2" width="70.000000" customWidth="1" style="6"/>
    <col min="3" max="3" width="22.000000" customWidth="1" style="6"/>
    <col min="4" max="4" width="14.000000" customWidth="1" style="6"/>
    <col min="5" max="5" width="13.000000" customWidth="1" style="6"/>
  </cols>
  <sheetData>
    <row r="1" spans="1:1">
      <c r="A1" s="7" t="s">
        <v>315</v>
      </c>
    </row>
    <row r="2" spans="1:5" ht="18" customHeight="1">
      <c r="A2" s="8" t="s">
        <v>192</v>
      </c>
      <c r="B2" s="8"/>
      <c r="C2" s="8"/>
      <c r="D2" s="8"/>
      <c r="E2" s="8"/>
    </row>
    <row r="4" spans="1:5" ht="33" customHeight="1">
      <c r="A4" s="10" t="s">
        <v>316</v>
      </c>
      <c r="B4" s="10"/>
      <c r="C4" s="10"/>
      <c r="D4" s="10"/>
      <c r="E4" s="10"/>
    </row>
    <row r="5" spans="1:5" ht="33" customHeight="1">
      <c r="A5" s="10" t="s">
        <v>317</v>
      </c>
      <c r="B5" s="10"/>
      <c r="C5" s="10"/>
      <c r="D5" s="10"/>
      <c r="E5" s="10"/>
    </row>
    <row r="6" spans="1:5" ht="33" customHeight="1">
      <c r="A6" s="10" t="s">
        <v>318</v>
      </c>
      <c r="B6" s="10"/>
      <c r="C6" s="10"/>
      <c r="D6" s="10"/>
      <c r="E6" s="10"/>
    </row>
    <row r="8" spans="1:5" ht="31.50" customHeight="1">
      <c r="A8" s="12" t="s">
        <v>319</v>
      </c>
      <c r="B8" s="12"/>
      <c r="C8" s="12" t="s">
        <v>320</v>
      </c>
      <c r="D8" s="12" t="s">
        <v>321</v>
      </c>
      <c r="E8" s="12" t="s">
        <v>322</v>
      </c>
    </row>
    <row r="9" spans="1:5" ht="18" customHeight="1">
      <c r="A9" s="13" t="s">
        <v>323</v>
      </c>
      <c r="B9" s="13"/>
      <c r="C9" s="13" t="s">
        <v>324</v>
      </c>
      <c r="D9" s="13" t="s">
        <v>325</v>
      </c>
      <c r="E9" s="13" t="s">
        <v>326</v>
      </c>
    </row>
    <row r="10" spans="1:5" ht="18" customHeight="1">
      <c r="A10" s="13" t="s">
        <v>327</v>
      </c>
      <c r="B10" s="13"/>
      <c r="C10" s="13" t="s">
        <v>328</v>
      </c>
      <c r="D10" s="13" t="s">
        <v>328</v>
      </c>
      <c r="E10" s="13" t="s">
        <v>328</v>
      </c>
    </row>
    <row r="11" spans="1:5" ht="18" customHeight="1">
      <c r="A11" s="13" t="s">
        <v>329</v>
      </c>
      <c r="B11" s="13"/>
      <c r="C11" s="13" t="s">
        <v>330</v>
      </c>
      <c r="D11" s="13" t="s">
        <v>331</v>
      </c>
      <c r="E11" s="13" t="s">
        <v>332</v>
      </c>
    </row>
    <row r="12" spans="1:5" ht="18" customHeight="1">
      <c r="A12" s="13" t="s">
        <v>333</v>
      </c>
      <c r="B12" s="13"/>
      <c r="C12" s="13" t="s">
        <v>334</v>
      </c>
      <c r="D12" s="13" t="s">
        <v>335</v>
      </c>
      <c r="E12" s="13" t="s">
        <v>336</v>
      </c>
    </row>
    <row r="14" spans="1:5" ht="33" customHeight="1">
      <c r="A14" s="10" t="s">
        <v>337</v>
      </c>
      <c r="B14" s="10"/>
      <c r="C14" s="10"/>
      <c r="D14" s="10"/>
      <c r="E14" s="10"/>
    </row>
    <row r="16" spans="1:5" ht="18" customHeight="1">
      <c r="A16" s="12" t="s">
        <v>207</v>
      </c>
      <c r="B16" s="12" t="s">
        <v>208</v>
      </c>
      <c r="C16" s="12" t="s">
        <v>209</v>
      </c>
      <c r="D16" s="12" t="s">
        <v>210</v>
      </c>
      <c r="E16" s="12" t="s">
        <v>211</v>
      </c>
    </row>
    <row r="17" spans="1:5" ht="48" customHeight="1">
      <c r="A17" s="14" t="s">
        <v>338</v>
      </c>
      <c r="B17" s="13" t="s">
        <v>339</v>
      </c>
      <c r="C17" s="19" t="inlineStr">
        <is>
          <r>
            <t>Thiếu đặc tả → sửa câu lệnh</t>
          </r>
        </is>
      </c>
      <c r="D17" s="17" t="str">
        <f>IF(C17="","",IF(C17="Thiếu đặc tả → sửa câu lệnh","Đúng","Chưa đúng"))</f>
        <v>Đúng</v>
      </c>
      <c r="E17" s="13" t="s">
        <v>340</v>
      </c>
    </row>
    <row r="18" spans="1:5" ht="48" customHeight="1">
      <c r="A18" s="14" t="s">
        <v>341</v>
      </c>
      <c r="B18" s="13" t="s">
        <v>342</v>
      </c>
      <c r="C18" s="19" t="inlineStr">
        <is>
          <r>
            <t>Thiếu năng lực hệ thống → sửa kỹ thuật</t>
          </r>
        </is>
      </c>
      <c r="D18" s="17" t="str">
        <f>IF(C18="","",IF(C18="Thiếu năng lực hệ thống → sửa kỹ thuật","Đúng","Chưa đúng"))</f>
        <v>Đúng</v>
      </c>
      <c r="E18" s="13" t="s">
        <v>340</v>
      </c>
    </row>
    <row r="19" spans="1:5" ht="63" customHeight="1">
      <c r="A19" s="14" t="s">
        <v>343</v>
      </c>
      <c r="B19" s="13" t="s">
        <v>344</v>
      </c>
      <c r="C19" s="19" t="inlineStr">
        <is>
          <r>
            <t>Lúc được lúc không → viết bài đánh giá tự động</t>
          </r>
        </is>
      </c>
      <c r="D19" s="17" t="str">
        <f>IF(C19="","",IF(C19="Lúc được lúc không → viết bài đánh giá tự động","Đúng","Chưa đúng"))</f>
        <v>Đúng</v>
      </c>
      <c r="E19" s="13" t="s">
        <v>340</v>
      </c>
    </row>
    <row r="20" spans="1:5" ht="33" customHeight="1">
      <c r="A20" s="14" t="s">
        <v>345</v>
      </c>
      <c r="B20" s="13" t="s">
        <v>346</v>
      </c>
      <c r="C20" s="19" t="inlineStr">
        <is>
          <r>
            <t>Mã lệnh</t>
          </r>
        </is>
      </c>
      <c r="D20" s="17" t="str">
        <f>IF(C20="","",IF(C20="Mã lệnh","Đúng","Chưa đúng"))</f>
        <v>Đúng</v>
      </c>
      <c r="E20" s="13" t="s">
        <v>347</v>
      </c>
    </row>
    <row r="21" spans="1:5" ht="33" customHeight="1">
      <c r="A21" s="14" t="s">
        <v>348</v>
      </c>
      <c r="B21" s="13" t="s">
        <v>349</v>
      </c>
      <c r="C21" s="19" t="inlineStr">
        <is>
          <r>
            <t>Mã lệnh</t>
          </r>
        </is>
      </c>
      <c r="D21" s="17" t="str">
        <f>IF(C21="","",IF(C21="Mã lệnh","Đúng","Chưa đúng"))</f>
        <v>Đúng</v>
      </c>
      <c r="E21" s="13" t="s">
        <v>350</v>
      </c>
    </row>
    <row r="22" spans="1:5" ht="33" customHeight="1">
      <c r="A22" s="14" t="s">
        <v>351</v>
      </c>
      <c r="B22" s="13" t="s">
        <v>352</v>
      </c>
      <c r="C22" s="19" t="inlineStr">
        <is>
          <r>
            <t>Mã lệnh</t>
          </r>
        </is>
      </c>
      <c r="D22" s="17" t="str">
        <f>IF(C22="","",IF(C22="Mã lệnh","Đúng","Chưa đúng"))</f>
        <v>Đúng</v>
      </c>
      <c r="E22" s="13" t="s">
        <v>353</v>
      </c>
    </row>
    <row r="23" spans="1:5" ht="33" customHeight="1">
      <c r="A23" s="14" t="s">
        <v>354</v>
      </c>
      <c r="B23" s="13" t="s">
        <v>355</v>
      </c>
      <c r="C23" s="19" t="inlineStr">
        <is>
          <r>
            <t>Mã lệnh</t>
          </r>
        </is>
      </c>
      <c r="D23" s="17" t="str">
        <f>IF(C23="","",IF(C23="Mã lệnh","Đúng","Chưa đúng"))</f>
        <v>Đúng</v>
      </c>
      <c r="E23" s="13" t="s">
        <v>353</v>
      </c>
    </row>
    <row r="24" spans="1:5" ht="33" customHeight="1">
      <c r="A24" s="14" t="s">
        <v>356</v>
      </c>
      <c r="B24" s="13" t="s">
        <v>357</v>
      </c>
      <c r="C24" s="19" t="inlineStr">
        <is>
          <r>
            <t>Giám khảo AI</t>
          </r>
        </is>
      </c>
      <c r="D24" s="17" t="str">
        <f>IF(C24="","",IF(C24="Giám khảo AI","Đúng","Chưa đúng"))</f>
        <v>Đúng</v>
      </c>
      <c r="E24" s="13" t="s">
        <v>347</v>
      </c>
    </row>
    <row r="25" spans="1:5" ht="33" customHeight="1">
      <c r="A25" s="14" t="s">
        <v>358</v>
      </c>
      <c r="B25" s="13" t="s">
        <v>359</v>
      </c>
      <c r="C25" s="19" t="inlineStr">
        <is>
          <r>
            <t>Người quyết</t>
          </r>
        </is>
      </c>
      <c r="D25" s="17" t="str">
        <f>IF(C25="","",IF(C25="Người quyết","Đúng","Chưa đúng"))</f>
        <v>Đúng</v>
      </c>
      <c r="E25" s="13" t="s">
        <v>360</v>
      </c>
    </row>
    <row r="26" spans="1:5" ht="33" customHeight="1">
      <c r="A26" s="14" t="s">
        <v>361</v>
      </c>
      <c r="B26" s="13" t="s">
        <v>362</v>
      </c>
      <c r="C26" s="19" t="inlineStr">
        <is>
          <r>
            <t>Đạt · đúng 1 nhãn</t>
          </r>
        </is>
      </c>
      <c r="D26" s="17" t="str">
        <f>IF(C26="","",IF(C26="Đạt · đúng 1 nhãn","Đúng","Chưa đúng"))</f>
        <v>Đúng</v>
      </c>
      <c r="E26" s="13" t="s">
        <v>363</v>
      </c>
    </row>
    <row r="27" spans="1:5" ht="33" customHeight="1">
      <c r="A27" s="14" t="s">
        <v>364</v>
      </c>
      <c r="B27" s="13" t="s">
        <v>365</v>
      </c>
      <c r="C27" s="19" t="inlineStr">
        <is>
          <r>
            <t>Không đạt · không có nhãn hợp lệ</t>
          </r>
        </is>
      </c>
      <c r="D27" s="17" t="str">
        <f>IF(C27="","",IF(C27="Không đạt · không có nhãn hợp lệ","Đúng","Chưa đúng"))</f>
        <v>Đúng</v>
      </c>
      <c r="E27" s="13" t="s">
        <v>363</v>
      </c>
    </row>
    <row r="28" spans="1:5" ht="33" customHeight="1">
      <c r="A28" s="14" t="s">
        <v>366</v>
      </c>
      <c r="B28" s="13" t="s">
        <v>367</v>
      </c>
      <c r="C28" s="19" t="inlineStr">
        <is>
          <r>
            <t>Không đạt · nhiều hơn 1 nhãn</t>
          </r>
        </is>
      </c>
      <c r="D28" s="17" t="str">
        <f>IF(C28="","",IF(C28="Không đạt · nhiều hơn 1 nhãn","Đúng","Chưa đúng"))</f>
        <v>Đúng</v>
      </c>
      <c r="E28" s="13" t="s">
        <v>363</v>
      </c>
    </row>
    <row r="29" spans="1:5" ht="33" customHeight="1">
      <c r="A29" s="14" t="s">
        <v>368</v>
      </c>
      <c r="B29" s="13" t="s">
        <v>369</v>
      </c>
      <c r="C29" s="19" t="inlineStr">
        <is>
          <r>
            <t>B</t>
          </r>
        </is>
      </c>
      <c r="D29" s="17" t="str">
        <f>IF(C29="","",IF(C29="B","Đúng","Chưa đúng"))</f>
        <v>Đúng</v>
      </c>
      <c r="E29" s="13" t="s">
        <v>370</v>
      </c>
    </row>
    <row r="30" spans="1:5" ht="33" customHeight="1">
      <c r="A30" s="14" t="s">
        <v>371</v>
      </c>
      <c r="B30" s="13" t="s">
        <v>372</v>
      </c>
      <c r="C30" s="19" t="inlineStr">
        <is>
          <r>
            <t>Lặp tiếp</t>
          </r>
        </is>
      </c>
      <c r="D30" s="17" t="str">
        <f>IF(C30="","",IF(C30="Lặp tiếp","Đúng","Chưa đúng"))</f>
        <v>Đúng</v>
      </c>
      <c r="E30" s="13" t="s">
        <v>373</v>
      </c>
    </row>
    <row r="31" spans="1:5" ht="33" customHeight="1">
      <c r="A31" s="14" t="s">
        <v>374</v>
      </c>
      <c r="B31" s="13" t="s">
        <v>375</v>
      </c>
      <c r="C31" s="19" t="inlineStr">
        <is>
          <r>
            <t>Sửa câu lệnh</t>
          </r>
        </is>
      </c>
      <c r="D31" s="17" t="str">
        <f>IF(C31="","",IF(C31="Sửa câu lệnh","Đúng","Chưa đúng"))</f>
        <v>Đúng</v>
      </c>
      <c r="E31" s="13" t="s">
        <v>373</v>
      </c>
    </row>
    <row r="33" spans="1:4" ht="18" customHeight="1">
      <c r="A33" s="14" t="s">
        <v>230</v>
      </c>
      <c r="B33" s="14"/>
      <c r="C33" s="20">
        <f>COUNTIF(D17:D31,"Đúng")</f>
        <v>15</v>
      </c>
      <c r="D33" s="13" t="s">
        <v>376</v>
      </c>
    </row>
  </sheetData>
  <sheetProtection password="C716" sheet="1" autoFilter="0"/>
  <mergeCells count="11">
    <mergeCell ref="A2:E2"/>
    <mergeCell ref="A4:E4"/>
    <mergeCell ref="A5:E5"/>
    <mergeCell ref="A6:E6"/>
    <mergeCell ref="A8:B8"/>
    <mergeCell ref="A9:B9"/>
    <mergeCell ref="A10:B10"/>
    <mergeCell ref="A11:B11"/>
    <mergeCell ref="A12:B12"/>
    <mergeCell ref="A14:E14"/>
    <mergeCell ref="A33:B33"/>
  </mergeCells>
  <dataValidations count="15">
    <dataValidation sqref="C17" type="list" operator="between" errorStyle="stop" allowBlank="1" view="0">
      <formula1>_ds!$G$1:$G$3</formula1>
    </dataValidation>
    <dataValidation sqref="C18" type="list" operator="between" errorStyle="stop" allowBlank="1" view="0">
      <formula1>_ds!$G$1:$G$3</formula1>
    </dataValidation>
    <dataValidation sqref="C19" type="list" operator="between" errorStyle="stop" allowBlank="1" view="0">
      <formula1>_ds!$G$1:$G$3</formula1>
    </dataValidation>
    <dataValidation sqref="C20" type="list" operator="between" errorStyle="stop" allowBlank="1" view="0">
      <formula1>_ds!$H$1:$H$3</formula1>
    </dataValidation>
    <dataValidation sqref="C21" type="list" operator="between" errorStyle="stop" allowBlank="1" view="0">
      <formula1>_ds!$H$1:$H$3</formula1>
    </dataValidation>
    <dataValidation sqref="C22" type="list" operator="between" errorStyle="stop" allowBlank="1" view="0">
      <formula1>_ds!$H$1:$H$3</formula1>
    </dataValidation>
    <dataValidation sqref="C23" type="list" operator="between" errorStyle="stop" allowBlank="1" view="0">
      <formula1>_ds!$H$1:$H$3</formula1>
    </dataValidation>
    <dataValidation sqref="C24" type="list" operator="between" errorStyle="stop" allowBlank="1" view="0">
      <formula1>_ds!$H$1:$H$3</formula1>
    </dataValidation>
    <dataValidation sqref="C25" type="list" operator="between" errorStyle="stop" allowBlank="1" view="0">
      <formula1>_ds!$H$1:$H$3</formula1>
    </dataValidation>
    <dataValidation sqref="C26" type="list" operator="between" errorStyle="stop" allowBlank="1" view="0">
      <formula1>_ds!$I$1:$I$3</formula1>
    </dataValidation>
    <dataValidation sqref="C27" type="list" operator="between" errorStyle="stop" allowBlank="1" view="0">
      <formula1>_ds!$I$1:$I$3</formula1>
    </dataValidation>
    <dataValidation sqref="C28" type="list" operator="between" errorStyle="stop" allowBlank="1" view="0">
      <formula1>_ds!$I$1:$I$3</formula1>
    </dataValidation>
    <dataValidation sqref="C29" type="list" operator="between" errorStyle="stop" allowBlank="1" view="0">
      <formula1>_ds!$B$1:$B$3</formula1>
    </dataValidation>
    <dataValidation sqref="C30" type="list" operator="between" errorStyle="stop" allowBlank="1" view="0">
      <formula1>_ds!$J$1:$J$3</formula1>
    </dataValidation>
    <dataValidation sqref="C31" type="list" operator="between" errorStyle="stop" allowBlank="1" view="0">
      <formula1>_ds!$K$1:$K$3</formula1>
    </dataValidation>
  </dataValidations>
  <printOptions>
    <extLst>
      <ext uri="smNativeData">
        <pm:pageFlags xmlns:pm="smNativeData" id="1792144992" printRowHead="0" printColHead="0" printHeadLine="1" printFootLine="1" autoHeightHeader="0" autoHeightFooter="0" fitToPageBoth="1"/>
      </ext>
    </extLst>
  </printOptions>
  <pageMargins left="0.750000" right="0.750000" top="1.000000" bottom="1.000000" header="0.511806" footer="0.511806"/>
  <pageSetup paperSize="9" fitToWidth="1" fitToHeight="0" orientation="landscape" cellComments="asDisplayed"/>
  <headerFooter>
    <extLst>
      <ext uri="smNativeData">
        <pm:header xmlns:pm="smNativeData" id="1792144992" l="56" r="56" t="56" b="56" borderId="0" fillId="0" vertical="0"/>
        <pm:footer xmlns:pm="smNativeData" id="1792144992" l="56" r="56" t="56" b="56" borderId="0" fillId="0" vertical="2"/>
        <pm:paperBin xmlns:pm="smNativeData" id="1792144992" Id="0" type="0" value="0"/>
        <pm:paperBin xmlns:pm="smNativeData" id="1792144992" Id="1" type="0" value="0"/>
      </ext>
    </extLst>
  </headerFooter>
  <extLst>
    <ext uri="smNativeData">
      <pm:sheetPrefs xmlns:pm="smNativeData" day="1792144992" outlineProtect="1" showHorizontalRuler="1" showVerticalRuler="1" showAltShade="0">
        <pm:shade id="0" type="0" fgLvl="100" fgClr="000000" bgLvl="100" bgClr="FFFFFF"/>
        <pm:shade id="1" type="0" fgLvl="100" fgClr="000000" bgLvl="100" bgClr="FFFFFF"/>
      </pm:sheetPrefs>
    </ext>
  </extLst>
</worksheet>
</file>

<file path=xl/worksheets/sheet7.xml><?xml version="1.0" encoding="utf-8"?>
<worksheet xmlns="http://schemas.openxmlformats.org/spreadsheetml/2006/main" xmlns:r="http://schemas.openxmlformats.org/officeDocument/2006/relationships" xmlns:mc="http://schemas.openxmlformats.org/markup-compatibility/2006">
  <sheetPr>
    <pageSetUpPr fitToPage="1"/>
  </sheetPr>
  <dimension ref="A1:E44"/>
  <sheetViews>
    <sheetView view="normal" workbookViewId="0">
      <selection activeCell="A1" sqref="A1"/>
    </sheetView>
  </sheetViews>
  <sheetFormatPr defaultRowHeight="15.40"/>
  <cols>
    <col min="1" max="1" width="7.000000" customWidth="1" style="6"/>
    <col min="2" max="2" width="70.000000" customWidth="1" style="6"/>
    <col min="3" max="3" width="22.000000" customWidth="1" style="6"/>
    <col min="4" max="4" width="14.000000" customWidth="1" style="6"/>
    <col min="5" max="5" width="13.000000" customWidth="1" style="6"/>
  </cols>
  <sheetData>
    <row r="1" spans="1:1">
      <c r="A1" s="7" t="s">
        <v>377</v>
      </c>
    </row>
    <row r="2" spans="1:5" ht="18" customHeight="1">
      <c r="A2" s="8" t="s">
        <v>192</v>
      </c>
      <c r="B2" s="8"/>
      <c r="C2" s="8"/>
      <c r="D2" s="8"/>
      <c r="E2" s="8"/>
    </row>
    <row r="4" spans="1:5" ht="18" customHeight="1">
      <c r="A4" s="10" t="s">
        <v>378</v>
      </c>
      <c r="B4" s="10"/>
      <c r="C4" s="10"/>
      <c r="D4" s="10"/>
      <c r="E4" s="10"/>
    </row>
    <row r="5" spans="1:5" ht="18" customHeight="1">
      <c r="A5" s="10" t="s">
        <v>379</v>
      </c>
      <c r="B5" s="10"/>
      <c r="C5" s="10"/>
      <c r="D5" s="10"/>
      <c r="E5" s="10"/>
    </row>
    <row r="6" spans="1:5" ht="33" customHeight="1">
      <c r="A6" s="10" t="s">
        <v>380</v>
      </c>
      <c r="B6" s="10"/>
      <c r="C6" s="10"/>
      <c r="D6" s="10"/>
      <c r="E6" s="10"/>
    </row>
    <row r="8" spans="1:3" ht="18" customHeight="1">
      <c r="A8" s="12" t="s">
        <v>381</v>
      </c>
      <c r="B8" s="12" t="s">
        <v>382</v>
      </c>
      <c r="C8" s="12" t="s">
        <v>383</v>
      </c>
    </row>
    <row r="9" spans="1:3" ht="18" customHeight="1">
      <c r="A9" s="13" t="s">
        <v>90</v>
      </c>
      <c r="B9" s="13" t="s">
        <v>384</v>
      </c>
      <c r="C9" s="13" t="s">
        <v>384</v>
      </c>
    </row>
    <row r="10" spans="1:3" ht="18" customHeight="1">
      <c r="A10" s="13" t="s">
        <v>93</v>
      </c>
      <c r="B10" s="13" t="s">
        <v>384</v>
      </c>
      <c r="C10" s="13" t="s">
        <v>384</v>
      </c>
    </row>
    <row r="11" spans="1:3" ht="18" customHeight="1">
      <c r="A11" s="13" t="s">
        <v>96</v>
      </c>
      <c r="B11" s="13" t="s">
        <v>385</v>
      </c>
      <c r="C11" s="13" t="s">
        <v>384</v>
      </c>
    </row>
    <row r="12" spans="1:3" ht="18" customHeight="1">
      <c r="A12" s="13" t="s">
        <v>109</v>
      </c>
      <c r="B12" s="13" t="s">
        <v>384</v>
      </c>
      <c r="C12" s="13" t="s">
        <v>384</v>
      </c>
    </row>
    <row r="13" spans="1:3" ht="18" customHeight="1">
      <c r="A13" s="13" t="s">
        <v>112</v>
      </c>
      <c r="B13" s="13" t="s">
        <v>384</v>
      </c>
      <c r="C13" s="13" t="s">
        <v>385</v>
      </c>
    </row>
    <row r="14" spans="1:3" ht="18" customHeight="1">
      <c r="A14" s="13" t="s">
        <v>128</v>
      </c>
      <c r="B14" s="13" t="s">
        <v>385</v>
      </c>
      <c r="C14" s="13" t="s">
        <v>385</v>
      </c>
    </row>
    <row r="15" spans="1:3" ht="18" customHeight="1">
      <c r="A15" s="13" t="s">
        <v>131</v>
      </c>
      <c r="B15" s="13" t="s">
        <v>384</v>
      </c>
      <c r="C15" s="13" t="s">
        <v>384</v>
      </c>
    </row>
    <row r="16" spans="1:3" ht="18" customHeight="1">
      <c r="A16" s="13" t="s">
        <v>134</v>
      </c>
      <c r="B16" s="13" t="s">
        <v>385</v>
      </c>
      <c r="C16" s="13" t="s">
        <v>384</v>
      </c>
    </row>
    <row r="17" spans="1:3" ht="18" customHeight="1">
      <c r="A17" s="13" t="s">
        <v>137</v>
      </c>
      <c r="B17" s="13" t="s">
        <v>384</v>
      </c>
      <c r="C17" s="13" t="s">
        <v>384</v>
      </c>
    </row>
    <row r="18" spans="1:3" ht="18" customHeight="1">
      <c r="A18" s="13" t="s">
        <v>140</v>
      </c>
      <c r="B18" s="13" t="s">
        <v>385</v>
      </c>
      <c r="C18" s="13" t="s">
        <v>385</v>
      </c>
    </row>
    <row r="19" spans="1:3" ht="18" customHeight="1">
      <c r="A19" s="13" t="s">
        <v>143</v>
      </c>
      <c r="B19" s="13" t="s">
        <v>384</v>
      </c>
      <c r="C19" s="13" t="s">
        <v>384</v>
      </c>
    </row>
    <row r="20" spans="1:3" ht="18" customHeight="1">
      <c r="A20" s="13" t="s">
        <v>146</v>
      </c>
      <c r="B20" s="13" t="s">
        <v>384</v>
      </c>
      <c r="C20" s="13" t="s">
        <v>384</v>
      </c>
    </row>
    <row r="22" spans="1:5" ht="33" customHeight="1">
      <c r="A22" s="10" t="s">
        <v>386</v>
      </c>
      <c r="B22" s="10"/>
      <c r="C22" s="10"/>
      <c r="D22" s="10"/>
      <c r="E22" s="10"/>
    </row>
    <row r="24" spans="1:5" ht="18" customHeight="1">
      <c r="A24" s="12" t="s">
        <v>207</v>
      </c>
      <c r="B24" s="12" t="s">
        <v>208</v>
      </c>
      <c r="C24" s="12" t="s">
        <v>209</v>
      </c>
      <c r="D24" s="12" t="s">
        <v>210</v>
      </c>
      <c r="E24" s="12" t="s">
        <v>211</v>
      </c>
    </row>
    <row r="25" spans="1:5" ht="18" customHeight="1">
      <c r="A25" s="14" t="s">
        <v>387</v>
      </c>
      <c r="B25" s="13" t="s">
        <v>388</v>
      </c>
      <c r="C25" s="16" t="n">
        <v>8</v>
      </c>
      <c r="D25" s="17" t="str">
        <f>IF(C25="","",IF(ISNUMBER(C25),IF(ABS(C25-8)&lt;=0.01,"Đúng","Chưa đúng"),"Gõ một số"))</f>
        <v>Đúng</v>
      </c>
      <c r="E25" s="13" t="s">
        <v>389</v>
      </c>
    </row>
    <row r="26" spans="1:5" ht="18" customHeight="1">
      <c r="A26" s="14" t="s">
        <v>390</v>
      </c>
      <c r="B26" s="13" t="s">
        <v>391</v>
      </c>
      <c r="C26" s="16" t="n">
        <v>9</v>
      </c>
      <c r="D26" s="17" t="str">
        <f>IF(C26="","",IF(ISNUMBER(C26),IF(ABS(C26-9)&lt;=0.01,"Đúng","Chưa đúng"),"Gõ một số"))</f>
        <v>Đúng</v>
      </c>
      <c r="E26" s="13" t="s">
        <v>389</v>
      </c>
    </row>
    <row r="27" spans="1:5" ht="18" customHeight="1">
      <c r="A27" s="14" t="s">
        <v>392</v>
      </c>
      <c r="B27" s="13" t="s">
        <v>393</v>
      </c>
      <c r="C27" s="16" t="n">
        <v>9</v>
      </c>
      <c r="D27" s="17" t="str">
        <f>IF(C27="","",IF(ISNUMBER(C27),IF(ABS(C27-9)&lt;=0.01,"Đúng","Chưa đúng"),"Gõ một số"))</f>
        <v>Đúng</v>
      </c>
      <c r="E27" s="13" t="s">
        <v>389</v>
      </c>
    </row>
    <row r="28" spans="1:5" ht="18" customHeight="1">
      <c r="A28" s="14" t="s">
        <v>394</v>
      </c>
      <c r="B28" s="13" t="s">
        <v>395</v>
      </c>
      <c r="C28" s="16" t="n">
        <v>7</v>
      </c>
      <c r="D28" s="17" t="str">
        <f>IF(C28="","",IF(ISNUMBER(C28),IF(ABS(C28-7)&lt;=0.01,"Đúng","Chưa đúng"),"Gõ một số"))</f>
        <v>Đúng</v>
      </c>
      <c r="E28" s="13" t="s">
        <v>389</v>
      </c>
    </row>
    <row r="29" spans="1:5" ht="18" customHeight="1">
      <c r="A29" s="14" t="s">
        <v>396</v>
      </c>
      <c r="B29" s="13" t="s">
        <v>397</v>
      </c>
      <c r="C29" s="16" t="n">
        <v>2</v>
      </c>
      <c r="D29" s="17" t="str">
        <f>IF(C29="","",IF(ISNUMBER(C29),IF(ABS(C29-2)&lt;=0.01,"Đúng","Chưa đúng"),"Gõ một số"))</f>
        <v>Đúng</v>
      </c>
      <c r="E29" s="13" t="s">
        <v>389</v>
      </c>
    </row>
    <row r="30" spans="1:5" ht="18" customHeight="1">
      <c r="A30" s="14" t="s">
        <v>398</v>
      </c>
      <c r="B30" s="13" t="s">
        <v>399</v>
      </c>
      <c r="C30" s="16" t="n">
        <v>1</v>
      </c>
      <c r="D30" s="17" t="str">
        <f>IF(C30="","",IF(ISNUMBER(C30),IF(ABS(C30-1)&lt;=0.01,"Đúng","Chưa đúng"),"Gõ một số"))</f>
        <v>Đúng</v>
      </c>
      <c r="E30" s="13" t="s">
        <v>389</v>
      </c>
    </row>
    <row r="31" spans="1:5" ht="18" customHeight="1">
      <c r="A31" s="14" t="s">
        <v>400</v>
      </c>
      <c r="B31" s="13" t="s">
        <v>401</v>
      </c>
      <c r="C31" s="16" t="n">
        <v>2</v>
      </c>
      <c r="D31" s="17" t="str">
        <f>IF(C31="","",IF(ISNUMBER(C31),IF(ABS(C31-2)&lt;=0.01,"Đúng","Chưa đúng"),"Gõ một số"))</f>
        <v>Đúng</v>
      </c>
      <c r="E31" s="13" t="s">
        <v>389</v>
      </c>
    </row>
    <row r="32" spans="1:5" ht="18" customHeight="1">
      <c r="A32" s="14" t="s">
        <v>402</v>
      </c>
      <c r="B32" s="13" t="s">
        <v>403</v>
      </c>
      <c r="C32" s="21" t="n">
        <v>0.875</v>
      </c>
      <c r="D32" s="17" t="str">
        <f>IF(C32="","",IF(ISNUMBER(C32),IF(OR(ABS(C32-0.875)&lt;=0.006,ABS(C32-87.5)&lt;=0.6),"Đúng","Chưa đúng"),"Gõ một số"))</f>
        <v>Đúng</v>
      </c>
      <c r="E32" s="13" t="s">
        <v>389</v>
      </c>
    </row>
    <row r="33" spans="1:5" ht="18" customHeight="1">
      <c r="A33" s="14" t="s">
        <v>404</v>
      </c>
      <c r="B33" s="13" t="s">
        <v>405</v>
      </c>
      <c r="C33" s="18" t="n">
        <v>0.5</v>
      </c>
      <c r="D33" s="17" t="str">
        <f>IF(C33="","",IF(ISNUMBER(C33),IF(OR(ABS(C33-0.5)&lt;=0.006,ABS(C33-50)&lt;=0.6),"Đúng","Chưa đúng"),"Gõ một số"))</f>
        <v>Đúng</v>
      </c>
      <c r="E33" s="13" t="s">
        <v>389</v>
      </c>
    </row>
    <row r="34" spans="1:5" ht="18" customHeight="1">
      <c r="A34" s="14" t="s">
        <v>406</v>
      </c>
      <c r="B34" s="13" t="s">
        <v>407</v>
      </c>
      <c r="C34" s="19" t="inlineStr">
        <is>
          <r>
            <t>B</t>
          </r>
        </is>
      </c>
      <c r="D34" s="17" t="str">
        <f>IF(C34="","",IF(C34="B","Đúng","Chưa đúng"))</f>
        <v>Đúng</v>
      </c>
      <c r="E34" s="13" t="s">
        <v>408</v>
      </c>
    </row>
    <row r="35" spans="1:5" ht="18" customHeight="1">
      <c r="A35" s="14" t="s">
        <v>409</v>
      </c>
      <c r="B35" s="13" t="s">
        <v>410</v>
      </c>
      <c r="C35" s="19" t="inlineStr">
        <is>
          <r>
            <t>Cho qua lỗi</t>
          </r>
        </is>
      </c>
      <c r="D35" s="17" t="str">
        <f>IF(C35="","",IF(C35="Cho qua lỗi","Đúng","Chưa đúng"))</f>
        <v>Đúng</v>
      </c>
      <c r="E35" s="13" t="s">
        <v>389</v>
      </c>
    </row>
    <row r="36" spans="1:5" ht="63" customHeight="1">
      <c r="A36" s="14" t="s">
        <v>411</v>
      </c>
      <c r="B36" s="13" t="s">
        <v>412</v>
      </c>
      <c r="C36" s="22" t="n">
        <v>0.4</v>
      </c>
      <c r="D36" s="17" t="str">
        <f>IF(C36="","",IF(ISNUMBER(C36),IF(ABS(C36-0.4)&lt;=0.006,"Đúng","Chưa đúng"),"Gõ một số"))</f>
        <v>Đúng</v>
      </c>
      <c r="E36" s="13" t="s">
        <v>413</v>
      </c>
    </row>
    <row r="37" spans="1:5" ht="33" customHeight="1">
      <c r="A37" s="14" t="s">
        <v>414</v>
      </c>
      <c r="B37" s="13" t="s">
        <v>415</v>
      </c>
      <c r="C37" s="16" t="n">
        <v>4</v>
      </c>
      <c r="D37" s="17" t="str">
        <f>IF(C37="","",IF(ISNUMBER(C37),IF(ABS(C37-4)&lt;=0.01,"Đúng","Chưa đúng"),"Gõ một số"))</f>
        <v>Đúng</v>
      </c>
      <c r="E37" s="13" t="s">
        <v>408</v>
      </c>
    </row>
    <row r="38" spans="1:5" ht="33" customHeight="1">
      <c r="A38" s="14" t="s">
        <v>416</v>
      </c>
      <c r="B38" s="13" t="s">
        <v>417</v>
      </c>
      <c r="C38" s="19" t="inlineStr">
        <is>
          <r>
            <t>Có</t>
          </r>
        </is>
      </c>
      <c r="D38" s="17" t="str">
        <f>IF(C38="","",IF(C38="Có","Đúng","Chưa đúng"))</f>
        <v>Đúng</v>
      </c>
      <c r="E38" s="13" t="s">
        <v>408</v>
      </c>
    </row>
    <row r="39" spans="1:5" ht="33" customHeight="1">
      <c r="A39" s="14" t="s">
        <v>418</v>
      </c>
      <c r="B39" s="13" t="s">
        <v>419</v>
      </c>
      <c r="C39" s="19" t="inlineStr">
        <is>
          <r>
            <t>Sai</t>
          </r>
        </is>
      </c>
      <c r="D39" s="17" t="str">
        <f>IF(C39="","",IF(C39="Sai","Đúng","Chưa đúng"))</f>
        <v>Đúng</v>
      </c>
      <c r="E39" s="13" t="s">
        <v>413</v>
      </c>
    </row>
    <row r="40" spans="1:5" ht="18" customHeight="1">
      <c r="A40" s="14" t="s">
        <v>420</v>
      </c>
      <c r="B40" s="13" t="s">
        <v>421</v>
      </c>
      <c r="C40" s="19" t="inlineStr">
        <is>
          <r>
            <t>Sai</t>
          </r>
        </is>
      </c>
      <c r="D40" s="17" t="str">
        <f>IF(C40="","",IF(C40="Sai","Đúng","Chưa đúng"))</f>
        <v>Đúng</v>
      </c>
      <c r="E40" s="13" t="s">
        <v>422</v>
      </c>
    </row>
    <row r="41" spans="1:5" ht="18" customHeight="1">
      <c r="A41" s="14" t="s">
        <v>423</v>
      </c>
      <c r="B41" s="13" t="s">
        <v>424</v>
      </c>
      <c r="C41" s="19" t="inlineStr">
        <is>
          <r>
            <t>Sai</t>
          </r>
        </is>
      </c>
      <c r="D41" s="17" t="str">
        <f>IF(C41="","",IF(C41="Sai","Đúng","Chưa đúng"))</f>
        <v>Đúng</v>
      </c>
      <c r="E41" s="13" t="s">
        <v>413</v>
      </c>
    </row>
    <row r="42" spans="1:5" ht="33" customHeight="1">
      <c r="A42" s="14" t="s">
        <v>425</v>
      </c>
      <c r="B42" s="13" t="s">
        <v>426</v>
      </c>
      <c r="C42" s="19" t="inlineStr">
        <is>
          <r>
            <t>Đúng</t>
          </r>
        </is>
      </c>
      <c r="D42" s="17" t="str">
        <f>IF(C42="","",IF(C42="Đúng","Đúng","Chưa đúng"))</f>
        <v>Đúng</v>
      </c>
      <c r="E42" s="13" t="s">
        <v>427</v>
      </c>
    </row>
    <row r="44" spans="1:4" ht="18" customHeight="1">
      <c r="A44" s="14" t="s">
        <v>230</v>
      </c>
      <c r="B44" s="14"/>
      <c r="C44" s="20">
        <f>COUNTIF(D25:D42,"Đúng")</f>
        <v>18</v>
      </c>
      <c r="D44" s="13" t="s">
        <v>428</v>
      </c>
    </row>
  </sheetData>
  <sheetProtection password="C716" sheet="1" autoFilter="0"/>
  <mergeCells count="6">
    <mergeCell ref="A2:E2"/>
    <mergeCell ref="A4:E4"/>
    <mergeCell ref="A5:E5"/>
    <mergeCell ref="A6:E6"/>
    <mergeCell ref="A22:E22"/>
    <mergeCell ref="A44:B44"/>
  </mergeCells>
  <dataValidations count="7">
    <dataValidation sqref="C34" type="list" operator="between" errorStyle="stop" allowBlank="1" view="0">
      <formula1>_ds!$B$1:$B$3</formula1>
    </dataValidation>
    <dataValidation sqref="C35" type="list" operator="between" errorStyle="stop" allowBlank="1" view="0">
      <formula1>_ds!$L$1:$L$2</formula1>
    </dataValidation>
    <dataValidation sqref="C38" type="list" operator="between" errorStyle="stop" allowBlank="1" view="0">
      <formula1>_ds!$A$1:$A$2</formula1>
    </dataValidation>
    <dataValidation sqref="C39" type="list" operator="between" errorStyle="stop" allowBlank="1" view="0">
      <formula1>_ds!$M$1:$M$2</formula1>
    </dataValidation>
    <dataValidation sqref="C40" type="list" operator="between" errorStyle="stop" allowBlank="1" view="0">
      <formula1>_ds!$M$1:$M$2</formula1>
    </dataValidation>
    <dataValidation sqref="C41" type="list" operator="between" errorStyle="stop" allowBlank="1" view="0">
      <formula1>_ds!$M$1:$M$2</formula1>
    </dataValidation>
    <dataValidation sqref="C42" type="list" operator="between" errorStyle="stop" allowBlank="1" view="0">
      <formula1>_ds!$M$1:$M$2</formula1>
    </dataValidation>
  </dataValidations>
  <printOptions>
    <extLst>
      <ext uri="smNativeData">
        <pm:pageFlags xmlns:pm="smNativeData" id="1792144992" printRowHead="0" printColHead="0" printHeadLine="1" printFootLine="1" autoHeightHeader="0" autoHeightFooter="0" fitToPageBoth="1"/>
      </ext>
    </extLst>
  </printOptions>
  <pageMargins left="0.750000" right="0.750000" top="1.000000" bottom="1.000000" header="0.511806" footer="0.511806"/>
  <pageSetup paperSize="9" fitToWidth="1" fitToHeight="0" orientation="landscape" cellComments="asDisplayed"/>
  <headerFooter>
    <extLst>
      <ext uri="smNativeData">
        <pm:header xmlns:pm="smNativeData" id="1792144992" l="56" r="56" t="56" b="56" borderId="0" fillId="0" vertical="0"/>
        <pm:footer xmlns:pm="smNativeData" id="1792144992" l="56" r="56" t="56" b="56" borderId="0" fillId="0" vertical="2"/>
        <pm:paperBin xmlns:pm="smNativeData" id="1792144992" Id="0" type="0" value="0"/>
        <pm:paperBin xmlns:pm="smNativeData" id="1792144992" Id="1" type="0" value="0"/>
      </ext>
    </extLst>
  </headerFooter>
  <extLst>
    <ext uri="smNativeData">
      <pm:sheetPrefs xmlns:pm="smNativeData" day="1792144992" outlineProtect="1" showHorizontalRuler="1" showVerticalRuler="1" showAltShade="0">
        <pm:shade id="0" type="0" fgLvl="100" fgClr="000000" bgLvl="100" bgClr="FFFFFF"/>
        <pm:shade id="1" type="0" fgLvl="100" fgClr="000000" bgLvl="100" bgClr="FFFFFF"/>
      </pm:sheetPrefs>
    </ext>
  </extLst>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1"/>
  </sheetPr>
  <dimension ref="A1:G112"/>
  <sheetViews>
    <sheetView tabSelected="1" view="normal" workbookViewId="0">
      <selection activeCell="C3" sqref="C3:G3"/>
    </sheetView>
  </sheetViews>
  <sheetFormatPr defaultRowHeight="15.40"/>
  <cols>
    <col min="1" max="1" width="7.000000" customWidth="1" style="6"/>
    <col min="2" max="2" width="34.000000" customWidth="1" style="6"/>
    <col min="3" max="3" width="40.000000" customWidth="1" style="6"/>
    <col min="4" max="4" width="34.000000" customWidth="1" style="6"/>
    <col min="5" max="5" width="22.000000" customWidth="1" style="6"/>
    <col min="6" max="7" width="16.000000" customWidth="1" style="6"/>
  </cols>
  <sheetData>
    <row r="1" spans="1:1">
      <c r="A1" s="7" t="s">
        <v>429</v>
      </c>
    </row>
    <row r="2" spans="1:7" ht="33" customHeight="1">
      <c r="A2" s="8" t="s">
        <v>430</v>
      </c>
      <c r="B2" s="8"/>
      <c r="C2" s="8"/>
      <c r="D2" s="8"/>
      <c r="E2" s="8"/>
      <c r="F2" s="8"/>
      <c r="G2" s="8"/>
    </row>
    <row r="3" spans="1:7" ht="18" customHeight="1">
      <c r="A3" s="14" t="s">
        <v>431</v>
      </c>
      <c r="B3" s="14"/>
      <c r="C3" s="19" t="s">
        <v>432</v>
      </c>
      <c r="D3" s="19"/>
      <c r="E3" s="19"/>
      <c r="F3" s="19"/>
      <c r="G3" s="19"/>
    </row>
    <row r="5" spans="1:7" ht="18" customHeight="1">
      <c r="A5" s="23" t="s">
        <v>433</v>
      </c>
      <c r="B5" s="23"/>
      <c r="C5" s="23"/>
      <c r="D5" s="23"/>
      <c r="E5" s="23"/>
      <c r="F5" s="23"/>
      <c r="G5" s="23"/>
    </row>
    <row r="6" spans="1:7" ht="18" customHeight="1">
      <c r="A6" s="10" t="s">
        <v>434</v>
      </c>
      <c r="B6" s="10"/>
      <c r="C6" s="10"/>
      <c r="D6" s="10"/>
      <c r="E6" s="10"/>
      <c r="F6" s="10"/>
      <c r="G6" s="10"/>
    </row>
    <row r="7" spans="1:7" ht="70" customHeight="1">
      <c r="A7" s="14" t="s">
        <v>435</v>
      </c>
      <c r="B7" s="14"/>
      <c r="C7" s="19" t="inlineStr">
        <is>
          <r>
            <t>Đọc 1 tin nhắn đổi/trả và dữ liệu tra đơn → soạn 1 câu trả lời dưới 2 giây, nêu điều kiện và bước tiếp theo theo CS-1–CS-6; chỉ xác nhận sau tra cứu, thiếu thông tin thì hỏi lại, hàng lỗi hoặc khách đòi gặp người thì chuyển nhân viên, không tự hứa đền bù.</t>
          </r>
        </is>
      </c>
      <c r="D7" s="19"/>
      <c r="E7" s="19"/>
      <c r="F7" s="19"/>
      <c r="G7" s="17"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spans="1:7" ht="18" customHeight="1">
      <c r="A9" s="23" t="s">
        <v>436</v>
      </c>
      <c r="B9" s="23"/>
      <c r="C9" s="23"/>
      <c r="D9" s="23"/>
      <c r="E9" s="23"/>
      <c r="F9" s="23"/>
      <c r="G9" s="23"/>
    </row>
    <row r="10" spans="1:7" ht="18" customHeight="1">
      <c r="A10" s="10" t="s">
        <v>437</v>
      </c>
      <c r="B10" s="10"/>
      <c r="C10" s="10"/>
      <c r="D10" s="10"/>
      <c r="E10" s="10"/>
      <c r="F10" s="10"/>
      <c r="G10" s="10"/>
    </row>
    <row r="11" spans="1:7" ht="18" customHeight="1">
      <c r="A11" s="12" t="s">
        <v>438</v>
      </c>
      <c r="B11" s="12" t="s">
        <v>439</v>
      </c>
      <c r="C11" s="12" t="s">
        <v>440</v>
      </c>
      <c r="D11" s="12" t="s">
        <v>441</v>
      </c>
      <c r="E11" s="12"/>
      <c r="F11" s="12"/>
      <c r="G11" s="12"/>
    </row>
    <row r="12" spans="1:7" ht="90" customHeight="1">
      <c r="A12" s="13" t="s">
        <v>90</v>
      </c>
      <c r="B12" s="19" t="inlineStr">
        <is>
          <r>
            <t>Ý định yêu cầu</t>
          </r>
        </is>
      </c>
      <c r="C12" s="16" t="n">
        <v>2</v>
      </c>
      <c r="D12" s="19" t="inlineStr">
        <is>
          <r>
            <t>Đổi hàng / Trả hàng: đổi thì hỏi size hoặc màu và tem mác (CS-1); trả thì nêu mốc hoàn tiền sau khi kho nhận hàng (CS-2).</t>
          </r>
        </is>
      </c>
      <c r="E12" s="19"/>
      <c r="F12" s="19"/>
      <c r="G12" s="19"/>
    </row>
    <row r="13" spans="1:7" ht="90" customHeight="1">
      <c r="A13" s="13" t="s">
        <v>93</v>
      </c>
      <c r="B13" s="19" t="inlineStr">
        <is>
          <r>
            <t>Khả năng xác định đơn</t>
          </r>
        </is>
      </c>
      <c r="C13" s="16" t="n">
        <v>3</v>
      </c>
      <c r="D13" s="19" t="inlineStr">
        <is>
          <r>
            <t>Một đơn xác định / Thiếu mã và SĐT / Nhiều đơn chưa rõ: lần lượt tra đơn; hỏi mã hoặc SĐT; hỏi khách chọn đơn, không đoán (CS-4, CS-5).</t>
          </r>
        </is>
      </c>
      <c r="E13" s="19"/>
      <c r="F13" s="19"/>
      <c r="G13" s="19"/>
    </row>
    <row r="14" spans="1:7" ht="90" customHeight="1">
      <c r="A14" s="13" t="s">
        <v>96</v>
      </c>
      <c r="B14" s="19" t="inlineStr">
        <is>
          <r>
            <t>Trạng thái chính sách</t>
          </r>
        </is>
      </c>
      <c r="C14" s="16" t="n">
        <v>4</v>
      </c>
      <c r="D14" s="19" t="inlineStr">
        <is>
          <r>
            <t>Không lỗi 0–7 ngày / Không lỗi 8–30 ngày / Hàng lỗi 0–30 ngày / Trên 30 ngày: lần lượt xét đổi/trả; từ chối đổi/trả thường; chuyển người; không tự chấp thuận. Trạng thái là dữ liệu chuẩn của ca, kể cả khi khách chưa nêu mã.</t>
          </r>
        </is>
      </c>
      <c r="E14" s="19"/>
      <c r="F14" s="19"/>
      <c r="G14" s="19"/>
    </row>
    <row r="15" spans="1:3" ht="18" customHeight="1">
      <c r="A15" s="14" t="s">
        <v>442</v>
      </c>
      <c r="B15" s="14"/>
      <c r="C15" s="24">
        <f>IF(COUNT(C12:C14)&lt;3,"",PRODUCT(C12:C14))</f>
        <v>24</v>
      </c>
    </row>
    <row r="16" spans="1:3" ht="18" customHeight="1">
      <c r="A16" s="14" t="s">
        <v>443</v>
      </c>
      <c r="B16" s="14"/>
      <c r="C16" s="16" t="n">
        <v>0</v>
      </c>
    </row>
    <row r="17" spans="1:3" ht="18" customHeight="1">
      <c r="A17" s="14" t="s">
        <v>444</v>
      </c>
      <c r="B17" s="14"/>
      <c r="C17" s="24">
        <f>IF(OR(C15="",C16=""),"",C15-C16)</f>
        <v>24</v>
      </c>
    </row>
    <row r="18" spans="1:4" ht="18" customHeight="1">
      <c r="A18" s="14" t="s">
        <v>445</v>
      </c>
      <c r="B18" s="14"/>
      <c r="C18" s="16" t="n">
        <v>16</v>
      </c>
      <c r="D18" s="17" t="str">
        <f>IF(OR(C18="",C17=""),"",IF(C18&gt;C17,"Chọn nhiều hơn số còn lại","Đạt"))</f>
        <v>Đạt</v>
      </c>
    </row>
    <row r="19" spans="1:3" ht="18" customHeight="1">
      <c r="A19" s="14" t="s">
        <v>446</v>
      </c>
      <c r="B19" s="14"/>
      <c r="C19" s="16" t="n">
        <v>3</v>
      </c>
    </row>
    <row r="20" spans="1:4" ht="18" customHeight="1">
      <c r="A20" s="14" t="s">
        <v>447</v>
      </c>
      <c r="B20" s="14"/>
      <c r="C20" s="20">
        <f>IF(OR(C18="",C19=""),"",C18*C19)</f>
        <v>48</v>
      </c>
      <c r="D20" s="17" t="str">
        <f>IF(C20="","",IF(AND(C20&gt;=40,C20&lt;=50),"Đạt","Nên trong khoảng 40–50 (trang 29)"))</f>
        <v>Đạt</v>
      </c>
    </row>
    <row r="22" spans="1:7" ht="18" customHeight="1">
      <c r="A22" s="23" t="s">
        <v>448</v>
      </c>
      <c r="B22" s="23"/>
      <c r="C22" s="23"/>
      <c r="D22" s="23"/>
      <c r="E22" s="23"/>
      <c r="F22" s="23"/>
      <c r="G22" s="23"/>
    </row>
    <row r="23" spans="1:7" ht="18" customHeight="1">
      <c r="A23" s="10" t="s">
        <v>449</v>
      </c>
      <c r="B23" s="10"/>
      <c r="C23" s="10"/>
      <c r="D23" s="10"/>
      <c r="E23" s="10"/>
      <c r="F23" s="10"/>
      <c r="G23" s="10"/>
    </row>
    <row r="24" spans="1:5" ht="18" customHeight="1">
      <c r="A24" s="12" t="s">
        <v>438</v>
      </c>
      <c r="B24" s="12" t="s">
        <v>450</v>
      </c>
      <c r="C24" s="12" t="s">
        <v>451</v>
      </c>
      <c r="D24" s="12"/>
      <c r="E24" s="12" t="s">
        <v>452</v>
      </c>
    </row>
    <row r="25" spans="1:5" ht="115" customHeight="1">
      <c r="A25" s="13" t="s">
        <v>90</v>
      </c>
      <c r="B25" s="19" t="inlineStr">
        <is>
          <r>
            <t>Mã MS-1201, áo nhận hôm qua còn tem, lần đầu đổi. Đổi M sang L giúp mình.</t>
          </r>
        </is>
      </c>
      <c r="C25" s="19" t="inlineStr">
        <is>
          <r>
            <t>Tra MS-1201, kiểm ngày và trạng thái; xác nhận tem, lần đổi; trong 7 ngày thì tạo yêu cầu đổi, miễn phí lần đầu và nêu bước gửi hàng (CS-1, CS-4).</t>
          </r>
        </is>
      </c>
      <c r="D25" s="19"/>
      <c r="E25" s="19" t="inlineStr">
        <is>
          <r>
            <t>Đại diện</t>
          </r>
        </is>
      </c>
    </row>
    <row r="26" spans="1:5" ht="115" customHeight="1">
      <c r="A26" s="13" t="s">
        <v>93</v>
      </c>
      <c r="B26" s="19" t="inlineStr">
        <is>
          <r>
            <t>Mình trả giày MS-1202, nhận 3 ngày trước, không bị lỗi.</t>
          </r>
        </is>
      </c>
      <c r="C26" s="19" t="inlineStr">
        <is>
          <r>
            <t>Tra đơn trước; nếu trong 7 ngày thì tạo yêu cầu trả, hướng dẫn gửi; tiền hoàn 3–5 ngày làm việc sau khi kho nhận hàng (CS-2, CS-4).</t>
          </r>
        </is>
      </c>
      <c r="D26" s="19"/>
      <c r="E26" s="19" t="inlineStr">
        <is>
          <r>
            <t>Đại diện</t>
          </r>
        </is>
      </c>
    </row>
    <row r="27" spans="1:5" ht="115" customHeight="1">
      <c r="A27" s="13" t="s">
        <v>96</v>
      </c>
      <c r="B27" s="19" t="inlineStr">
        <is>
          <r>
            <t>Áo chật, mình muốn đổi L nhưng không nhớ mã đơn.</t>
          </r>
        </is>
      </c>
      <c r="C27" s="19" t="inlineStr">
        <is>
          <r>
            <t>Hỏi mã đơn hoặc SĐT đặt hàng; chưa có thì không đoán, không tạo yêu cầu hoặc hứa đổi; tra được đơn mới xét 7 ngày và tem (CS-1, CS-4, CS-5).</t>
          </r>
        </is>
      </c>
      <c r="D27" s="19"/>
      <c r="E27" s="19" t="inlineStr">
        <is>
          <r>
            <t>Thử thách</t>
          </r>
        </is>
      </c>
    </row>
    <row r="28" spans="1:5" ht="115" customHeight="1">
      <c r="A28" s="13" t="s">
        <v>109</v>
      </c>
      <c r="B28" s="19" t="inlineStr">
        <is>
          <r>
            <t>SĐT đặt hàng 0901234567. Cái đơn hôm trước ấy, mình không lấy nữa.</t>
          </r>
        </is>
      </c>
      <c r="C28" s="19" t="inlineStr">
        <is>
          <r>
            <t>Nhãn Cần làm rõ; tra SĐT được MS-1187 và MS-1188 thì hỏi khách chọn đơn; không tự chọn MS-1188 hoặc tạo trả trước xác nhận (CS-4, CS-5).</t>
          </r>
        </is>
      </c>
      <c r="D28" s="19"/>
      <c r="E28" s="19" t="inlineStr">
        <is>
          <r>
            <t>Thử thách</t>
          </r>
        </is>
      </c>
    </row>
    <row r="29" spans="1:5" ht="115" customHeight="1">
      <c r="A29" s="13" t="s">
        <v>112</v>
      </c>
      <c r="B29" s="19" t="inlineStr">
        <is>
          <r>
            <t>MS-1205 nhận đúng 7 ngày, còn tem, chưa đổi lần nào; đổi màu đen giúp mình.</t>
          </r>
        </is>
      </c>
      <c r="C29" s="19" t="inlineStr">
        <is>
          <r>
            <t>Tra ngày nhận để xác nhận đúng biên ngày 7; nếu còn tem thì tạo yêu cầu đổi lần đầu miễn phí, hướng dẫn bước gửi; không hứa còn màu vì chưa có công cụ tồn kho (CS-1, CS-4).</t>
          </r>
        </is>
      </c>
      <c r="D29" s="19"/>
      <c r="E29" s="19" t="inlineStr">
        <is>
          <r>
            <t>Thử thách</t>
          </r>
        </is>
      </c>
    </row>
    <row r="30" spans="1:5" ht="115" customHeight="1">
      <c r="A30" s="13" t="s">
        <v>128</v>
      </c>
      <c r="B30" s="19" t="inlineStr">
        <is>
          <r>
            <t>MS-1206 nhận 20 ngày, giày bong keo. Cho mình gặp nhân viên và đền gấp đôi nhé.</t>
          </r>
        </is>
      </c>
      <c r="C30" s="19" t="inlineStr">
        <is>
          <r>
            <t>Gắn Trả hàng, cờ hàng lỗi; tra đơn, chuyển nhân viên kèm lý do lỗi và yêu cầu gặp người; không áp hạn 7 ngày, không hứa mức đền bù (CS-3, CS-4, CS-6).</t>
          </r>
        </is>
      </c>
      <c r="D30" s="19"/>
      <c r="E30" s="19" t="inlineStr">
        <is>
          <r>
            <t>Thử thách</t>
          </r>
        </is>
      </c>
    </row>
    <row r="31" spans="1:5" ht="115" customHeight="1">
      <c r="A31" s="13" t="s">
        <v>131</v>
      </c>
      <c r="B31" s="19" t="inlineStr">
        <is>
          <r>
            <t>MS-0871 nhận 20 ngày, giày không lỗi; mình muốn trả lấy tiền.</t>
          </r>
        </is>
      </c>
      <c r="C31" s="19" t="inlineStr">
        <is>
          <r>
            <t>Tra đơn; quá 7 ngày và không lỗi thì từ chối trả theo chính sách, không hứa hoàn hoặc tạo trả; nêu có thể nhờ nhân viên trao đổi thêm (CS-2, CS-4).</t>
          </r>
        </is>
      </c>
      <c r="D31" s="19"/>
      <c r="E31" s="19" t="inlineStr">
        <is>
          <r>
            <t>Hồi quy nghiêm trọng</t>
          </r>
        </is>
      </c>
    </row>
    <row r="32" spans="1:5" ht="115" customHeight="1">
      <c r="A32" s="13" t="s">
        <v>134</v>
      </c>
      <c r="B32" s="19" t="inlineStr">
        <is>
          <r>
            <t>MS-1001 nhận 5 ngày, áo rách, mình nhắn 3 lần rồi. Cho nói chuyện với người thật!</t>
          </r>
        </is>
      </c>
      <c r="C32" s="19" t="inlineStr">
        <is>
          <r>
            <t>Ghi nhận bực bội; tra đơn, gọi chuyển nhân viên với lý do hàng lỗi và yêu cầu gặp người; không chỉ trả lời quy trình trả thường hoặc hứa đền bù (CS-3, CS-4, CS-6).</t>
          </r>
        </is>
      </c>
      <c r="D32" s="19"/>
      <c r="E32" s="19" t="inlineStr">
        <is>
          <r>
            <t>Hồi quy nghiêm trọng</t>
          </r>
        </is>
      </c>
    </row>
    <row r="33" spans="2:3" ht="18" customHeight="1">
      <c r="B33" s="14" t="s">
        <v>453</v>
      </c>
      <c r="C33" s="24">
        <f>COUNTIF(E25:E32,"Đại diện")</f>
        <v>2</v>
      </c>
    </row>
    <row r="34" spans="2:3" ht="18" customHeight="1">
      <c r="B34" s="14" t="s">
        <v>454</v>
      </c>
      <c r="C34" s="24">
        <f>COUNTIF(E25:E32,"Thử thách")</f>
        <v>4</v>
      </c>
    </row>
    <row r="35" spans="2:3" ht="18" customHeight="1">
      <c r="B35" s="14" t="s">
        <v>455</v>
      </c>
      <c r="C35" s="24">
        <f>COUNTIF(E25:E32,"Hồi quy nghiêm trọng")</f>
        <v>2</v>
      </c>
    </row>
    <row r="36" spans="2:3" ht="18" customHeight="1">
      <c r="B36" s="14" t="s">
        <v>210</v>
      </c>
      <c r="C36" s="17"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spans="1:7" ht="18" customHeight="1">
      <c r="A38" s="23" t="s">
        <v>456</v>
      </c>
      <c r="B38" s="23"/>
      <c r="C38" s="23"/>
      <c r="D38" s="23"/>
      <c r="E38" s="23"/>
      <c r="F38" s="23"/>
      <c r="G38" s="23"/>
    </row>
    <row r="39" spans="1:7" ht="18" customHeight="1">
      <c r="A39" s="10" t="s">
        <v>457</v>
      </c>
      <c r="B39" s="10"/>
      <c r="C39" s="10"/>
      <c r="D39" s="10"/>
      <c r="E39" s="10"/>
      <c r="F39" s="10"/>
      <c r="G39" s="10"/>
    </row>
    <row r="40" spans="1:7" ht="18" customHeight="1">
      <c r="A40" s="12" t="s">
        <v>270</v>
      </c>
      <c r="B40" s="12" t="s">
        <v>271</v>
      </c>
      <c r="C40" s="12"/>
      <c r="D40" s="12"/>
      <c r="E40" s="12"/>
      <c r="F40" s="12"/>
      <c r="G40" s="12"/>
    </row>
    <row r="41" spans="1:7" ht="18" customHeight="1">
      <c r="A41" s="14" t="s">
        <v>458</v>
      </c>
      <c r="B41" s="13" t="s">
        <v>459</v>
      </c>
      <c r="C41" s="13"/>
      <c r="D41" s="13"/>
      <c r="E41" s="13"/>
      <c r="F41" s="13"/>
      <c r="G41" s="13"/>
    </row>
    <row r="42" spans="1:7" ht="18" customHeight="1">
      <c r="A42" s="14"/>
      <c r="B42" s="13" t="s">
        <v>290</v>
      </c>
      <c r="C42" s="13"/>
      <c r="D42" s="13"/>
      <c r="E42" s="13"/>
      <c r="F42" s="13"/>
      <c r="G42" s="13"/>
    </row>
    <row r="43" spans="1:7" ht="18" customHeight="1">
      <c r="A43" s="14"/>
      <c r="B43" s="13" t="s">
        <v>460</v>
      </c>
      <c r="C43" s="13"/>
      <c r="D43" s="13"/>
      <c r="E43" s="13"/>
      <c r="F43" s="13"/>
      <c r="G43" s="13"/>
    </row>
    <row r="44" spans="1:7" ht="18" customHeight="1">
      <c r="A44" s="14"/>
      <c r="B44" s="13" t="s">
        <v>461</v>
      </c>
      <c r="C44" s="13"/>
      <c r="D44" s="13"/>
      <c r="E44" s="13"/>
      <c r="F44" s="13"/>
      <c r="G44" s="13"/>
    </row>
    <row r="45" spans="1:7" ht="18" customHeight="1">
      <c r="A45" s="14" t="s">
        <v>462</v>
      </c>
      <c r="B45" s="13" t="s">
        <v>463</v>
      </c>
      <c r="C45" s="13"/>
      <c r="D45" s="13"/>
      <c r="E45" s="13"/>
      <c r="F45" s="13"/>
      <c r="G45" s="13"/>
    </row>
    <row r="46" spans="1:7" ht="18" customHeight="1">
      <c r="A46" s="14"/>
      <c r="B46" s="13" t="s">
        <v>280</v>
      </c>
      <c r="C46" s="13"/>
      <c r="D46" s="13"/>
      <c r="E46" s="13"/>
      <c r="F46" s="13"/>
      <c r="G46" s="13"/>
    </row>
    <row r="47" spans="1:7" ht="18" customHeight="1">
      <c r="A47" s="14"/>
      <c r="B47" s="13" t="s">
        <v>464</v>
      </c>
      <c r="C47" s="13"/>
      <c r="D47" s="13"/>
      <c r="E47" s="13"/>
      <c r="F47" s="13"/>
      <c r="G47" s="13"/>
    </row>
    <row r="48" spans="1:7" ht="18" customHeight="1">
      <c r="A48" s="14"/>
      <c r="B48" s="13" t="s">
        <v>465</v>
      </c>
      <c r="C48" s="13"/>
      <c r="D48" s="13"/>
      <c r="E48" s="13"/>
      <c r="F48" s="13"/>
      <c r="G48" s="13"/>
    </row>
    <row r="49" spans="1:7" ht="18" customHeight="1">
      <c r="A49" s="14"/>
      <c r="B49" s="13" t="s">
        <v>466</v>
      </c>
      <c r="C49" s="13"/>
      <c r="D49" s="13"/>
      <c r="E49" s="13"/>
      <c r="F49" s="13"/>
      <c r="G49" s="13"/>
    </row>
    <row r="50" spans="1:7" ht="18" customHeight="1">
      <c r="A50" s="14" t="s">
        <v>467</v>
      </c>
      <c r="B50" s="13" t="s">
        <v>468</v>
      </c>
      <c r="C50" s="13"/>
      <c r="D50" s="13"/>
      <c r="E50" s="13"/>
      <c r="F50" s="13"/>
      <c r="G50" s="13"/>
    </row>
    <row r="51" spans="1:7" ht="18" customHeight="1">
      <c r="A51" s="14"/>
      <c r="B51" s="13" t="s">
        <v>285</v>
      </c>
      <c r="C51" s="13"/>
      <c r="D51" s="13"/>
      <c r="E51" s="13"/>
      <c r="F51" s="13"/>
      <c r="G51" s="13"/>
    </row>
    <row r="52" spans="1:7" ht="18" customHeight="1">
      <c r="A52" s="14"/>
      <c r="B52" s="13" t="s">
        <v>469</v>
      </c>
      <c r="C52" s="13"/>
      <c r="D52" s="13"/>
      <c r="E52" s="13"/>
      <c r="F52" s="13"/>
      <c r="G52" s="13"/>
    </row>
    <row r="53" spans="1:7" ht="18" customHeight="1">
      <c r="A53" s="14"/>
      <c r="B53" s="13" t="s">
        <v>470</v>
      </c>
      <c r="C53" s="13"/>
      <c r="D53" s="13"/>
      <c r="E53" s="13"/>
      <c r="F53" s="13"/>
      <c r="G53" s="13"/>
    </row>
    <row r="55" spans="1:7" ht="18" customHeight="1">
      <c r="A55" s="12" t="s">
        <v>270</v>
      </c>
      <c r="B55" s="12" t="s">
        <v>471</v>
      </c>
      <c r="C55" s="12" t="s">
        <v>472</v>
      </c>
      <c r="D55" s="12" t="s">
        <v>473</v>
      </c>
      <c r="E55" s="12"/>
      <c r="F55" s="12" t="s">
        <v>474</v>
      </c>
      <c r="G55" s="12" t="s">
        <v>475</v>
      </c>
    </row>
    <row r="56" spans="1:7" ht="90" customHeight="1">
      <c r="A56" s="14" t="s">
        <v>458</v>
      </c>
      <c r="B56" s="16" t="n">
        <v>3</v>
      </c>
      <c r="C56" s="19" t="inlineStr">
        <is>
          <r>
            <t>missing_lookup</t>
          </r>
        </is>
      </c>
      <c r="D56" s="19" t="inlineStr">
        <is>
          <r>
            <t>Chặn tao_yeu_cau_doi_tra nếu chưa tra_cuu_don thành công cho cùng mã; kiểm ngày nhận và trạng thái trước tạo yêu cầu (CS-4).</t>
          </r>
        </is>
      </c>
      <c r="E56" s="19"/>
      <c r="F56" s="17" t="str">
        <f>IF(B56="","",IF(B56=3,"Đúng","Chưa đúng"))</f>
        <v>Đúng</v>
      </c>
      <c r="G56" s="17" t="str">
        <f>IF(C56="","",IF(C56="missing_lookup","Đúng","Chưa đúng"))</f>
        <v>Đúng</v>
      </c>
    </row>
    <row r="57" spans="1:7" ht="90" customHeight="1">
      <c r="A57" s="14" t="s">
        <v>462</v>
      </c>
      <c r="B57" s="16" t="n">
        <v>2</v>
      </c>
      <c r="C57" s="19" t="inlineStr">
        <is>
          <r>
            <t>wrong_intent</t>
          </r>
        </is>
      </c>
      <c r="D57" s="19" t="inlineStr">
        <is>
          <r>
            <t>Sửa phân loại: chưa rõ đơn nào phải là Cần làm rõ; sau tra SĐT có 2 đơn phải hỏi chọn đơn trước tạo trả (CS-5).</t>
          </r>
        </is>
      </c>
      <c r="E57" s="19"/>
      <c r="F57" s="17" t="str">
        <f>IF(B57="","",IF(B57=2,"Đúng","Chưa đúng"))</f>
        <v>Đúng</v>
      </c>
      <c r="G57" s="17" t="str">
        <f>IF(C57="","",IF(C57="wrong_intent","Đúng","Chưa đúng"))</f>
        <v>Đúng</v>
      </c>
    </row>
    <row r="58" spans="1:7" ht="90" customHeight="1">
      <c r="A58" s="14" t="s">
        <v>467</v>
      </c>
      <c r="B58" s="16" t="n">
        <v>4</v>
      </c>
      <c r="C58" s="19" t="inlineStr">
        <is>
          <r>
            <t>missing_escalation</t>
          </r>
        </is>
      </c>
      <c r="D58" s="19" t="inlineStr">
        <is>
          <r>
            <t>Bổ sung nhánh hàng lỗi hoặc muốn gặp người: gọi chuyen_nhan_vien kèm lý do thay vì chỉ nêu chính sách trả thường (CS-3, CS-6).</t>
          </r>
        </is>
      </c>
      <c r="E58" s="19"/>
      <c r="F58" s="17" t="str">
        <f>IF(B58="","",IF(B58=4,"Đúng","Chưa đúng"))</f>
        <v>Đúng</v>
      </c>
      <c r="G58" s="17" t="str">
        <f>IF(C58="","",IF(C58="missing_escalation","Đúng","Chưa đúng"))</f>
        <v>Đúng</v>
      </c>
    </row>
    <row r="60" spans="1:7" ht="18" customHeight="1">
      <c r="A60" s="23" t="s">
        <v>476</v>
      </c>
      <c r="B60" s="23"/>
      <c r="C60" s="23"/>
      <c r="D60" s="23"/>
      <c r="E60" s="23"/>
      <c r="F60" s="23"/>
      <c r="G60" s="23"/>
    </row>
    <row r="61" spans="1:7" ht="18" customHeight="1">
      <c r="A61" s="10" t="s">
        <v>477</v>
      </c>
      <c r="B61" s="10"/>
      <c r="C61" s="10"/>
      <c r="D61" s="10"/>
      <c r="E61" s="10"/>
      <c r="F61" s="10"/>
      <c r="G61" s="10"/>
    </row>
    <row r="62" spans="1:7" ht="18" customHeight="1">
      <c r="A62" s="12" t="s">
        <v>438</v>
      </c>
      <c r="B62" s="12" t="s">
        <v>478</v>
      </c>
      <c r="C62" s="12" t="s">
        <v>479</v>
      </c>
      <c r="D62" s="12" t="s">
        <v>480</v>
      </c>
      <c r="E62" s="12" t="s">
        <v>481</v>
      </c>
      <c r="F62" s="12" t="s">
        <v>482</v>
      </c>
      <c r="G62" s="12" t="s">
        <v>483</v>
      </c>
    </row>
    <row r="63" spans="1:7" ht="195" customHeight="1">
      <c r="A63" s="14" t="s">
        <v>484</v>
      </c>
      <c r="B63" s="19" t="inlineStr">
        <is>
          <r>
            <t>Tra cứu trước xác nhận</t>
          </r>
        </is>
      </c>
      <c r="C63" s="19" t="inlineStr">
        <is>
          <r>
            <t>Mọi lần tạo yêu cầu hoặc xác nhận đổi/trả/hoàn đều có tra_cuu_don thành công trước đó cho cùng mã, trả ngày nhận và trạng thái (CS-4). Không có xác nhận thì không buộc gọi tra.</t>
          </r>
        </is>
      </c>
      <c r="D63" s="19" t="inlineStr">
        <is>
          <r>
            <t>Tra MS-1201 xong rồi: “Shop đã tạo yêu cầu đổi.”</t>
          </r>
        </is>
      </c>
      <c r="E63" s="19" t="inlineStr">
        <is>
          <r>
            <t>Cùng câu trên nhưng tạo yêu cầu trước tra MS-1201.</t>
          </r>
        </is>
      </c>
      <c r="F63" s="19" t="inlineStr">
        <is>
          <r>
            <t>Mã lệnh</t>
          </r>
        </is>
      </c>
      <c r="G63" s="26" t="n">
        <v>0.95</v>
      </c>
    </row>
    <row r="64" spans="1:7" ht="195" customHeight="1">
      <c r="A64" s="14" t="s">
        <v>485</v>
      </c>
      <c r="B64" s="19" t="inlineStr">
        <is>
          <r>
            <t>Không hứa vượt chính sách</t>
          </r>
        </is>
      </c>
      <c r="C64" s="19" t="inlineStr">
        <is>
          <r>
            <t>Câu trả lời không hứa đổi/trả thường quá 7 ngày, không hứa hoàn sớm hơn 3–5 ngày làm việc sau kho nhận, không tự hứa đền bù hàng lỗi (CS-1–CS-3).</t>
          </r>
        </is>
      </c>
      <c r="D64" s="19" t="inlineStr">
        <is>
          <r>
            <t>“Tiền hoàn trong 3–5 ngày làm việc sau khi kho nhận lại hàng.”</t>
          </r>
        </is>
      </c>
      <c r="E64" s="19" t="inlineStr">
        <is>
          <r>
            <t>“Tiền hoàn trong 3–5 ngày làm việc từ hôm nay” khi kho chưa nhận.</t>
          </r>
        </is>
      </c>
      <c r="F64" s="19" t="inlineStr">
        <is>
          <r>
            <t>Giám khảo AI</t>
          </r>
        </is>
      </c>
      <c r="G64" s="26" t="n">
        <v>1</v>
      </c>
    </row>
    <row r="65" spans="1:7" ht="195" customHeight="1">
      <c r="A65" s="14" t="s">
        <v>486</v>
      </c>
      <c r="B65" s="19" t="inlineStr">
        <is>
          <r>
            <t>Chuyển người khi bắt buộc</t>
          </r>
        </is>
      </c>
      <c r="C65" s="19" t="inlineStr">
        <is>
          <r>
            <t>Ca hàng lỗi hoặc khách muốn gặp người có lời gọi chuyen_nhan_vien kèm lý do trước khi kết thúc; không chỉ nói sẽ chuyển (CS-3, CS-6). Ca khác không buộc chuyển.</t>
          </r>
        </is>
      </c>
      <c r="D65" s="19" t="inlineStr">
        <is>
          <r>
            <t>Khách xin gặp người; gọi chuyển với lý do “khách yêu cầu gặp nhân viên”.</t>
          </r>
        </is>
      </c>
      <c r="E65" s="19" t="inlineStr">
        <is>
          <r>
            <t>Cùng ca: nói “Em sẽ chuyển” nhưng không gọi công cụ.</t>
          </r>
        </is>
      </c>
      <c r="F65" s="19" t="inlineStr">
        <is>
          <r>
            <t>Mã lệnh (lời gọi công cụ) + người kiểm mẫu 10%</t>
          </r>
        </is>
      </c>
      <c r="G65" s="26" t="n">
        <v>1</v>
      </c>
    </row>
    <row r="66" spans="1:7" ht="195" customHeight="1">
      <c r="A66" s="14" t="s">
        <v>487</v>
      </c>
      <c r="B66" s="19" t="inlineStr">
        <is>
          <r>
            <t>Bước tiếp theo cụ thể</t>
          </r>
        </is>
      </c>
      <c r="C66" s="19" t="inlineStr">
        <is>
          <r>
            <t>Câu trả lời nêu hành động tiếp: thiếu thông tin thì hỏi mã/SĐT hoặc chọn đơn; đủ điều kiện thì hướng dẫn tạo/gửi hàng; quá hạn thì nêu giới hạn và đề nghị liên hệ nhân viên (CS-1–CS-5).</t>
          </r>
        </is>
      </c>
      <c r="D66" s="19" t="inlineStr">
        <is>
          <r>
            <t>“Đơn còn trong 7 ngày. Bạn xác nhận áo còn tem để mình tạo yêu cầu đổi nhé?”</t>
          </r>
        </is>
      </c>
      <c r="E66" s="19" t="inlineStr">
        <is>
          <r>
            <t>“Đơn còn trong 7 ngày ạ.” rồi kết thúc, không nêu việc cần làm.</t>
          </r>
        </is>
      </c>
      <c r="F66" s="19" t="inlineStr">
        <is>
          <r>
            <t>Giám khảo AI</t>
          </r>
        </is>
      </c>
      <c r="G66" s="26" t="n">
        <v>0.9</v>
      </c>
    </row>
    <row r="67" spans="2:7" ht="33" customHeight="1">
      <c r="B67" s="14" t="s">
        <v>210</v>
      </c>
      <c r="C67" s="17"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15" t="s">
        <v>488</v>
      </c>
      <c r="E67" s="15"/>
      <c r="F67" s="15"/>
      <c r="G67" s="15"/>
    </row>
    <row r="69" spans="1:7" ht="18" customHeight="1">
      <c r="A69" s="23" t="s">
        <v>489</v>
      </c>
      <c r="B69" s="23"/>
      <c r="C69" s="23"/>
      <c r="D69" s="23"/>
      <c r="E69" s="23"/>
      <c r="F69" s="23"/>
      <c r="G69" s="23"/>
    </row>
    <row r="70" spans="1:7" ht="18" customHeight="1">
      <c r="A70" s="10" t="s">
        <v>490</v>
      </c>
      <c r="B70" s="10"/>
      <c r="C70" s="10"/>
      <c r="D70" s="10"/>
      <c r="E70" s="10"/>
      <c r="F70" s="10"/>
      <c r="G70" s="10"/>
    </row>
    <row r="71" spans="1:7" ht="18" customHeight="1">
      <c r="A71" s="12" t="s">
        <v>381</v>
      </c>
      <c r="B71" s="12" t="s">
        <v>491</v>
      </c>
      <c r="C71" s="12" t="s">
        <v>383</v>
      </c>
      <c r="D71" s="12" t="s">
        <v>492</v>
      </c>
      <c r="E71" s="12"/>
      <c r="F71" s="12" t="s">
        <v>493</v>
      </c>
      <c r="G71" s="12" t="s">
        <v>210</v>
      </c>
    </row>
    <row r="72" spans="1:7" ht="31.50" customHeight="1">
      <c r="A72" s="13" t="s">
        <v>90</v>
      </c>
      <c r="B72" s="13" t="s">
        <v>384</v>
      </c>
      <c r="C72" s="13" t="s">
        <v>384</v>
      </c>
      <c r="D72" s="13" t="s">
        <v>494</v>
      </c>
      <c r="E72" s="13"/>
      <c r="F72" s="16" t="n">
        <v>12</v>
      </c>
      <c r="G72" s="17" t="str">
        <f>IF(F72="","",IF(F72=12,"Đúng","Chưa đúng"))</f>
        <v>Đúng</v>
      </c>
    </row>
    <row r="73" spans="1:7" ht="31.50" customHeight="1">
      <c r="A73" s="13" t="s">
        <v>93</v>
      </c>
      <c r="B73" s="13" t="s">
        <v>384</v>
      </c>
      <c r="C73" s="13" t="s">
        <v>385</v>
      </c>
      <c r="D73" s="13" t="s">
        <v>495</v>
      </c>
      <c r="E73" s="13"/>
      <c r="F73" s="16" t="n">
        <v>2</v>
      </c>
      <c r="G73" s="17" t="str">
        <f>IF(F73="","",IF(F73=2,"Đúng","Chưa đúng"))</f>
        <v>Đúng</v>
      </c>
    </row>
    <row r="74" spans="1:7" ht="31.50" customHeight="1">
      <c r="A74" s="13" t="s">
        <v>96</v>
      </c>
      <c r="B74" s="13" t="s">
        <v>384</v>
      </c>
      <c r="C74" s="13" t="s">
        <v>384</v>
      </c>
      <c r="D74" s="13" t="s">
        <v>496</v>
      </c>
      <c r="E74" s="13"/>
      <c r="F74" s="16" t="n">
        <v>0</v>
      </c>
      <c r="G74" s="17" t="str">
        <f>IF(F74="","",IF(F74=0,"Đúng","Chưa đúng"))</f>
        <v>Đúng</v>
      </c>
    </row>
    <row r="75" spans="1:7" ht="31.50" customHeight="1">
      <c r="A75" s="13" t="s">
        <v>109</v>
      </c>
      <c r="B75" s="13" t="s">
        <v>385</v>
      </c>
      <c r="C75" s="13" t="s">
        <v>385</v>
      </c>
      <c r="D75" s="13" t="s">
        <v>497</v>
      </c>
      <c r="E75" s="13"/>
      <c r="F75" s="16" t="n">
        <v>6</v>
      </c>
      <c r="G75" s="17" t="str">
        <f>IF(F75="","",IF(F75=6,"Đúng","Chưa đúng"))</f>
        <v>Đúng</v>
      </c>
    </row>
    <row r="76" spans="1:7" ht="18" customHeight="1">
      <c r="A76" s="13" t="s">
        <v>112</v>
      </c>
      <c r="B76" s="13" t="s">
        <v>384</v>
      </c>
      <c r="C76" s="13" t="s">
        <v>384</v>
      </c>
      <c r="D76" s="14" t="s">
        <v>498</v>
      </c>
      <c r="E76" s="14"/>
      <c r="F76" s="25">
        <f>IF(OR(F72="",F73=""),"",F72/(F72+F73))</f>
        <v>0.85714285714285694</v>
      </c>
      <c r="G76" s="17" t="str">
        <f>IF(F76="","",IF(F76&gt;=0.9,"Đạt ngưỡng","Dưới ngưỡng"))</f>
        <v>Dưới ngưỡng</v>
      </c>
    </row>
    <row r="77" spans="1:7" ht="18" customHeight="1">
      <c r="A77" s="13" t="s">
        <v>128</v>
      </c>
      <c r="B77" s="13" t="s">
        <v>384</v>
      </c>
      <c r="C77" s="13" t="s">
        <v>384</v>
      </c>
      <c r="D77" s="14" t="s">
        <v>499</v>
      </c>
      <c r="E77" s="14"/>
      <c r="F77" s="25">
        <f>IF(OR(F74="",F75=""),"",F75/(F74+F75))</f>
        <v>1</v>
      </c>
      <c r="G77" s="17" t="str">
        <f>IF(F77="","",IF(F77&gt;=0.9,"Đạt ngưỡng","Dưới ngưỡng"))</f>
        <v>Đạt ngưỡng</v>
      </c>
    </row>
    <row r="78" spans="1:6" ht="18" customHeight="1">
      <c r="A78" s="13" t="s">
        <v>131</v>
      </c>
      <c r="B78" s="13" t="s">
        <v>385</v>
      </c>
      <c r="C78" s="13" t="s">
        <v>385</v>
      </c>
      <c r="D78" s="13" t="s">
        <v>500</v>
      </c>
      <c r="E78" s="13"/>
      <c r="F78" s="26" t="n">
        <v>0.9</v>
      </c>
    </row>
    <row r="79" spans="1:6" ht="18" customHeight="1">
      <c r="A79" s="13" t="s">
        <v>134</v>
      </c>
      <c r="B79" s="13" t="s">
        <v>384</v>
      </c>
      <c r="C79" s="13" t="s">
        <v>384</v>
      </c>
      <c r="D79" s="13" t="s">
        <v>501</v>
      </c>
      <c r="E79" s="13"/>
      <c r="F79" s="24">
        <f>SUM(F72:F75)</f>
        <v>20</v>
      </c>
    </row>
    <row r="80" spans="1:3" ht="18" customHeight="1">
      <c r="A80" s="13" t="s">
        <v>137</v>
      </c>
      <c r="B80" s="13" t="s">
        <v>384</v>
      </c>
      <c r="C80" s="13" t="s">
        <v>384</v>
      </c>
    </row>
    <row r="81" spans="1:7" ht="31.50" customHeight="1">
      <c r="A81" s="13" t="s">
        <v>140</v>
      </c>
      <c r="B81" s="13" t="s">
        <v>384</v>
      </c>
      <c r="C81" s="13" t="s">
        <v>385</v>
      </c>
      <c r="D81" s="13" t="s">
        <v>502</v>
      </c>
      <c r="E81" s="13"/>
      <c r="F81" s="13"/>
      <c r="G81" s="13"/>
    </row>
    <row r="82" spans="1:7" ht="33" customHeight="1">
      <c r="A82" s="13" t="s">
        <v>143</v>
      </c>
      <c r="B82" s="13" t="s">
        <v>384</v>
      </c>
      <c r="C82" s="13" t="s">
        <v>384</v>
      </c>
      <c r="D82" s="13" t="s">
        <v>503</v>
      </c>
      <c r="E82" s="13"/>
      <c r="F82" s="13"/>
      <c r="G82" s="13"/>
    </row>
    <row r="83" spans="1:7" ht="31.50" customHeight="1">
      <c r="A83" s="13" t="s">
        <v>146</v>
      </c>
      <c r="B83" s="13" t="s">
        <v>385</v>
      </c>
      <c r="C83" s="13" t="s">
        <v>385</v>
      </c>
      <c r="D83" s="13" t="s">
        <v>504</v>
      </c>
      <c r="E83" s="13"/>
      <c r="F83" s="13"/>
      <c r="G83" s="13"/>
    </row>
    <row r="84" spans="1:7" ht="18" customHeight="1">
      <c r="A84" s="13" t="s">
        <v>149</v>
      </c>
      <c r="B84" s="13" t="s">
        <v>384</v>
      </c>
      <c r="C84" s="13" t="s">
        <v>384</v>
      </c>
      <c r="D84" s="14" t="s">
        <v>505</v>
      </c>
      <c r="E84" s="14"/>
      <c r="F84" s="19" t="inlineStr">
        <is>
          <r>
            <t>B</t>
          </r>
        </is>
      </c>
      <c r="G84" s="17" t="str">
        <f>IF(F84="","",IF(F84="B","Đúng","Chưa đúng"))</f>
        <v>Đúng</v>
      </c>
    </row>
    <row r="85" spans="1:3" ht="18" customHeight="1">
      <c r="A85" s="13" t="s">
        <v>152</v>
      </c>
      <c r="B85" s="13" t="s">
        <v>384</v>
      </c>
      <c r="C85" s="13" t="s">
        <v>384</v>
      </c>
    </row>
    <row r="86" spans="1:3" ht="18" customHeight="1">
      <c r="A86" s="13" t="s">
        <v>155</v>
      </c>
      <c r="B86" s="13" t="s">
        <v>385</v>
      </c>
      <c r="C86" s="13" t="s">
        <v>385</v>
      </c>
    </row>
    <row r="87" spans="1:3" ht="18" customHeight="1">
      <c r="A87" s="13" t="s">
        <v>158</v>
      </c>
      <c r="B87" s="13" t="s">
        <v>384</v>
      </c>
      <c r="C87" s="13" t="s">
        <v>384</v>
      </c>
    </row>
    <row r="88" spans="1:3" ht="18" customHeight="1">
      <c r="A88" s="13" t="s">
        <v>161</v>
      </c>
      <c r="B88" s="13" t="s">
        <v>385</v>
      </c>
      <c r="C88" s="13" t="s">
        <v>385</v>
      </c>
    </row>
    <row r="89" spans="1:3" ht="18" customHeight="1">
      <c r="A89" s="13" t="s">
        <v>164</v>
      </c>
      <c r="B89" s="13" t="s">
        <v>384</v>
      </c>
      <c r="C89" s="13" t="s">
        <v>384</v>
      </c>
    </row>
    <row r="90" spans="1:3" ht="18" customHeight="1">
      <c r="A90" s="13" t="s">
        <v>167</v>
      </c>
      <c r="B90" s="13" t="s">
        <v>385</v>
      </c>
      <c r="C90" s="13" t="s">
        <v>385</v>
      </c>
    </row>
    <row r="91" spans="1:3" ht="18" customHeight="1">
      <c r="A91" s="13" t="s">
        <v>170</v>
      </c>
      <c r="B91" s="13" t="s">
        <v>384</v>
      </c>
      <c r="C91" s="13" t="s">
        <v>384</v>
      </c>
    </row>
    <row r="94" spans="1:7" ht="18" customHeight="1">
      <c r="A94" s="23" t="s">
        <v>506</v>
      </c>
      <c r="B94" s="23"/>
      <c r="C94" s="23"/>
      <c r="D94" s="23"/>
      <c r="E94" s="23"/>
      <c r="F94" s="23"/>
      <c r="G94" s="23"/>
    </row>
    <row r="95" spans="1:7" ht="18" customHeight="1">
      <c r="A95" s="10" t="s">
        <v>507</v>
      </c>
      <c r="B95" s="10"/>
      <c r="C95" s="10"/>
      <c r="D95" s="10"/>
      <c r="E95" s="10"/>
      <c r="F95" s="10"/>
      <c r="G95" s="10"/>
    </row>
    <row r="96" spans="1:6" ht="18" customHeight="1">
      <c r="A96" s="12" t="s">
        <v>319</v>
      </c>
      <c r="B96" s="12"/>
      <c r="C96" s="12" t="s">
        <v>482</v>
      </c>
      <c r="D96" s="12" t="s">
        <v>483</v>
      </c>
      <c r="E96" s="12" t="s">
        <v>321</v>
      </c>
      <c r="F96" s="12" t="s">
        <v>322</v>
      </c>
    </row>
    <row r="97" spans="1:6" ht="18" customHeight="1">
      <c r="A97" s="13" t="s">
        <v>323</v>
      </c>
      <c r="B97" s="13"/>
      <c r="C97" s="13" t="s">
        <v>508</v>
      </c>
      <c r="D97" s="13" t="s">
        <v>324</v>
      </c>
      <c r="E97" s="13" t="s">
        <v>325</v>
      </c>
      <c r="F97" s="13" t="s">
        <v>509</v>
      </c>
    </row>
    <row r="98" spans="1:6" ht="18" customHeight="1">
      <c r="A98" s="13" t="s">
        <v>510</v>
      </c>
      <c r="B98" s="13"/>
      <c r="C98" s="13" t="s">
        <v>508</v>
      </c>
      <c r="D98" s="13" t="s">
        <v>511</v>
      </c>
      <c r="E98" s="13" t="s">
        <v>511</v>
      </c>
      <c r="F98" s="13" t="s">
        <v>511</v>
      </c>
    </row>
    <row r="99" spans="1:6" ht="18" customHeight="1">
      <c r="A99" s="13" t="s">
        <v>77</v>
      </c>
      <c r="B99" s="13"/>
      <c r="C99" s="13" t="s">
        <v>508</v>
      </c>
      <c r="D99" s="13" t="s">
        <v>512</v>
      </c>
      <c r="E99" s="13" t="s">
        <v>513</v>
      </c>
      <c r="F99" s="13" t="s">
        <v>514</v>
      </c>
    </row>
    <row r="100" spans="1:6" ht="18" customHeight="1">
      <c r="A100" s="13" t="s">
        <v>333</v>
      </c>
      <c r="B100" s="13"/>
      <c r="C100" s="13" t="s">
        <v>515</v>
      </c>
      <c r="D100" s="13" t="s">
        <v>516</v>
      </c>
      <c r="E100" s="13" t="s">
        <v>335</v>
      </c>
      <c r="F100" s="13" t="s">
        <v>517</v>
      </c>
    </row>
    <row r="101" spans="1:6" ht="18" customHeight="1">
      <c r="A101" s="13" t="s">
        <v>518</v>
      </c>
      <c r="B101" s="13"/>
      <c r="C101" s="13" t="s">
        <v>519</v>
      </c>
      <c r="D101" s="13" t="s">
        <v>324</v>
      </c>
      <c r="E101" s="13" t="s">
        <v>520</v>
      </c>
      <c r="F101" s="13" t="s">
        <v>513</v>
      </c>
    </row>
    <row r="102" spans="1:6" ht="18" customHeight="1">
      <c r="A102" s="13" t="s">
        <v>329</v>
      </c>
      <c r="B102" s="13"/>
      <c r="C102" s="13" t="s">
        <v>508</v>
      </c>
      <c r="D102" s="13" t="s">
        <v>330</v>
      </c>
      <c r="E102" s="13" t="s">
        <v>331</v>
      </c>
      <c r="F102" s="13" t="s">
        <v>521</v>
      </c>
    </row>
    <row r="103" spans="1:7" ht="18" customHeight="1">
      <c r="A103" s="15" t="s">
        <v>522</v>
      </c>
      <c r="B103" s="15"/>
      <c r="C103" s="15"/>
      <c r="D103" s="15"/>
      <c r="E103" s="15"/>
      <c r="F103" s="15"/>
      <c r="G103" s="15"/>
    </row>
    <row r="105" spans="1:4" ht="18" customHeight="1">
      <c r="A105" s="14" t="s">
        <v>523</v>
      </c>
      <c r="B105" s="14"/>
      <c r="C105" s="19" t="inlineStr">
        <is>
          <r>
            <t>Phát hành</t>
          </r>
        </is>
      </c>
      <c r="D105" s="17" t="str">
        <f>IF(C105="","",IF(C105="Phát hành","Đúng","Chưa đúng"))</f>
        <v>Đúng</v>
      </c>
    </row>
    <row r="106" spans="1:7" ht="175" customHeight="1">
      <c r="A106" s="14" t="s">
        <v>524</v>
      </c>
      <c r="B106" s="14"/>
      <c r="C106" s="19" t="inlineStr">
        <is>
          <r>
            <t>Phát hành v1.4 vì 6/6 tiêu chí qua cổng, cảm xúc giảm đúng 2 điểm nên chưa vi phạm. Lấy mẫu ngẫu nhiên 10% tin thật mỗi ngày (~30/300), phân tầng theo ý định và hàng lỗi; chị Ngân xem hằng ngày, nhóm kỹ thuật tổng hợp mỗi tuần trên cửa sổ 7 ngày. Ba tín hiệu: (1) chất lượng: ý định &lt;90%, tra trước hứa &lt;95%, cảm xúc &lt;80%, chuyển người &lt;90% hoặc giảm &gt;2 điểm so v1.3; (2) đầu vào: tỷ trọng tin thiếu/mơ hồ hoặc hàng lỗi tăng &gt;10 điểm so tuần đầu; (3) thời gian: trung vị ≥2 giây. Một ca bịa mã/hứa vượt chính sách/không chuyển ca bắt buộc: báo ngay chị Ngân và kỹ thuật, dừng nhánh tự động có lỗi, chuyển người; thêm ca vào bộ chống tái phát, sửa và chạy lại toàn bộ trước mở lại. Giám khảo cho tiêu chí “không hứa” ở X6 chưa được dùng tự động: chuyên gia chấm đến khi TPR và TNR đều ≥90% trên tập giữ riêng.</t>
          </r>
        </is>
      </c>
      <c r="D106" s="19"/>
      <c r="E106" s="19"/>
      <c r="F106" s="19"/>
      <c r="G106" s="19"/>
    </row>
    <row r="107" spans="3:7" ht="18" customHeight="1">
      <c r="C107" s="15" t="s">
        <v>525</v>
      </c>
      <c r="D107" s="15"/>
      <c r="E107" s="15"/>
      <c r="F107" s="15"/>
      <c r="G107" s="15"/>
    </row>
    <row r="109" spans="1:7" ht="18" customHeight="1">
      <c r="A109" s="10" t="s">
        <v>526</v>
      </c>
      <c r="B109" s="10"/>
      <c r="C109" s="10"/>
      <c r="D109" s="10"/>
      <c r="E109" s="10"/>
      <c r="F109" s="10"/>
      <c r="G109" s="10"/>
    </row>
    <row r="110" spans="1:4" ht="18" customHeight="1">
      <c r="A110" s="14" t="s">
        <v>527</v>
      </c>
      <c r="B110" s="14"/>
      <c r="C110" s="18" t="n">
        <v>0.75</v>
      </c>
      <c r="D110" s="17" t="str">
        <f>IF(C110="","",IF(ISNUMBER(C110),IF(OR(ABS(C110-0.75)&lt;=0.006,ABS(C110-75)&lt;=0.6),"Đúng","Chưa đúng"),"Gõ một số"))</f>
        <v>Đúng</v>
      </c>
    </row>
    <row r="111" spans="1:4" ht="18" customHeight="1">
      <c r="A111" s="14" t="s">
        <v>528</v>
      </c>
      <c r="B111" s="14"/>
      <c r="C111" s="16" t="n">
        <v>50</v>
      </c>
      <c r="D111" s="17" t="str">
        <f>IF(C111="","",IF(ISNUMBER(C111),IF(ABS(C111-50)&lt;=0.01,"Đúng","Chưa đúng"),"Gõ một số"))</f>
        <v>Đúng</v>
      </c>
    </row>
    <row r="112" spans="1:4" ht="33" customHeight="1">
      <c r="A112" s="14" t="s">
        <v>529</v>
      </c>
      <c r="B112" s="14"/>
      <c r="C112" s="18" t="n">
        <v>0.840000000000000036</v>
      </c>
      <c r="D112" s="17" t="str">
        <f>IF(C112="","",IF(ISNUMBER(C112),IF(OR(ABS(C112-0.84)&lt;=0.006,ABS(C112-84)&lt;=0.6),"Đúng","Chưa đúng"),"Gõ một số"))</f>
        <v>Đúng</v>
      </c>
    </row>
  </sheetData>
  <sheetProtection password="C716" sheet="1" autoFilter="0"/>
  <mergeCells count="86">
    <mergeCell ref="A2:G2"/>
    <mergeCell ref="A3:B3"/>
    <mergeCell ref="C3:G3"/>
    <mergeCell ref="A5:G5"/>
    <mergeCell ref="A6:G6"/>
    <mergeCell ref="A7:B7"/>
    <mergeCell ref="C7:F7"/>
    <mergeCell ref="A9:G9"/>
    <mergeCell ref="A10:G10"/>
    <mergeCell ref="D11:G11"/>
    <mergeCell ref="D12:G12"/>
    <mergeCell ref="D13:G13"/>
    <mergeCell ref="D14:G14"/>
    <mergeCell ref="A15:B15"/>
    <mergeCell ref="A16:B16"/>
    <mergeCell ref="A17:B17"/>
    <mergeCell ref="A18:B18"/>
    <mergeCell ref="A19:B19"/>
    <mergeCell ref="A20:B20"/>
    <mergeCell ref="A22:G22"/>
    <mergeCell ref="A23:G23"/>
    <mergeCell ref="C24:D24"/>
    <mergeCell ref="C25:D25"/>
    <mergeCell ref="C26:D26"/>
    <mergeCell ref="C27:D27"/>
    <mergeCell ref="C28:D28"/>
    <mergeCell ref="C29:D29"/>
    <mergeCell ref="C30:D30"/>
    <mergeCell ref="C31:D31"/>
    <mergeCell ref="C32:D32"/>
    <mergeCell ref="A38:G38"/>
    <mergeCell ref="A39:G39"/>
    <mergeCell ref="B40:G40"/>
    <mergeCell ref="B41:G41"/>
    <mergeCell ref="B42:G42"/>
    <mergeCell ref="B43:G43"/>
    <mergeCell ref="B44:G44"/>
    <mergeCell ref="B45:G45"/>
    <mergeCell ref="B46:G46"/>
    <mergeCell ref="B47:G47"/>
    <mergeCell ref="B48:G48"/>
    <mergeCell ref="B49:G49"/>
    <mergeCell ref="B50:G50"/>
    <mergeCell ref="B51:G51"/>
    <mergeCell ref="B52:G52"/>
    <mergeCell ref="B53:G53"/>
    <mergeCell ref="D55:E55"/>
    <mergeCell ref="D56:E56"/>
    <mergeCell ref="D57:E57"/>
    <mergeCell ref="D58:E58"/>
    <mergeCell ref="A60:G60"/>
    <mergeCell ref="A61:G61"/>
    <mergeCell ref="D67:G67"/>
    <mergeCell ref="A69:G69"/>
    <mergeCell ref="A70:G70"/>
    <mergeCell ref="D71:E71"/>
    <mergeCell ref="D72:E72"/>
    <mergeCell ref="D73:E73"/>
    <mergeCell ref="D74:E74"/>
    <mergeCell ref="D75:E75"/>
    <mergeCell ref="D76:E76"/>
    <mergeCell ref="D77:E77"/>
    <mergeCell ref="D78:E78"/>
    <mergeCell ref="D79:E79"/>
    <mergeCell ref="D81:G81"/>
    <mergeCell ref="D82:G82"/>
    <mergeCell ref="D83:G83"/>
    <mergeCell ref="D84:E84"/>
    <mergeCell ref="A94:G94"/>
    <mergeCell ref="A95:G95"/>
    <mergeCell ref="A96:B96"/>
    <mergeCell ref="A97:B97"/>
    <mergeCell ref="A98:B98"/>
    <mergeCell ref="A99:B99"/>
    <mergeCell ref="A100:B100"/>
    <mergeCell ref="A101:B101"/>
    <mergeCell ref="A102:B102"/>
    <mergeCell ref="A103:G103"/>
    <mergeCell ref="A105:B105"/>
    <mergeCell ref="A106:B106"/>
    <mergeCell ref="C106:G106"/>
    <mergeCell ref="C107:G107"/>
    <mergeCell ref="A109:G109"/>
    <mergeCell ref="A110:B110"/>
    <mergeCell ref="A111:B111"/>
    <mergeCell ref="A112:B112"/>
  </mergeCells>
  <dataValidations count="5">
    <dataValidation sqref="E25:E32" type="list" operator="between" errorStyle="stop" allowBlank="1" view="0">
      <formula1>_ds!$E$1:$E$3</formula1>
    </dataValidation>
    <dataValidation sqref="C56:C58" type="list" operator="between" errorStyle="stop" allowBlank="1" view="0">
      <formula1>_ds!$F$1:$F$5</formula1>
    </dataValidation>
    <dataValidation sqref="F63:F66" type="list" operator="between" errorStyle="stop" allowBlank="1" view="0">
      <formula1>_ds!$N$1:$N$4</formula1>
    </dataValidation>
    <dataValidation sqref="F84" type="list" operator="between" errorStyle="stop" allowBlank="1" view="0">
      <formula1>_ds!$B$1:$B$3</formula1>
    </dataValidation>
    <dataValidation sqref="C105" type="list" operator="between" errorStyle="stop" allowBlank="1" view="0">
      <formula1>_ds!$J$1:$J$3</formula1>
    </dataValidation>
  </dataValidations>
  <printOptions>
    <extLst>
      <ext uri="smNativeData">
        <pm:pageFlags xmlns:pm="smNativeData" id="1792144992" printRowHead="0" printColHead="0" printHeadLine="1" printFootLine="1" autoHeightHeader="0" autoHeightFooter="0" fitToPageBoth="1"/>
      </ext>
    </extLst>
  </printOptions>
  <pageMargins left="0.750000" right="0.750000" top="1.000000" bottom="1.000000" header="0.511806" footer="0.511806"/>
  <pageSetup paperSize="9" fitToWidth="1" fitToHeight="0" orientation="landscape" cellComments="asDisplayed"/>
  <headerFooter>
    <extLst>
      <ext uri="smNativeData">
        <pm:header xmlns:pm="smNativeData" id="1792144992" l="56" r="56" t="56" b="56" borderId="0" fillId="0" vertical="0"/>
        <pm:footer xmlns:pm="smNativeData" id="1792144992" l="56" r="56" t="56" b="56" borderId="0" fillId="0" vertical="2"/>
        <pm:paperBin xmlns:pm="smNativeData" id="1792144992" Id="0" type="0" value="0"/>
        <pm:paperBin xmlns:pm="smNativeData" id="1792144992" Id="1" type="0" value="0"/>
      </ext>
    </extLst>
  </headerFooter>
  <extLst>
    <ext uri="smNativeData">
      <pm:sheetPrefs xmlns:pm="smNativeData" day="1792144992" outlineProtect="1" showHorizontalRuler="1" showVerticalRuler="1" showAltShade="0">
        <pm:shade id="0" type="0" fgLvl="100" fgClr="000000" bgLvl="100" bgClr="FFFFFF"/>
        <pm:shade id="1" type="0" fgLvl="100" fgClr="000000" bgLvl="100" bgClr="FFFFFF"/>
      </pm:sheetPrefs>
    </ext>
  </extLst>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1"/>
  </sheetPr>
  <dimension ref="A1:F12"/>
  <sheetViews>
    <sheetView view="normal" workbookViewId="0">
      <selection activeCell="A1" sqref="A1"/>
    </sheetView>
  </sheetViews>
  <sheetFormatPr defaultRowHeight="15.40"/>
  <cols>
    <col min="1" max="1" width="8.000000" customWidth="1" style="6"/>
    <col min="2" max="2" width="9.000000" customWidth="1" style="6"/>
    <col min="3" max="3" width="44.000000" customWidth="1" style="6"/>
    <col min="4" max="4" width="38.000000" customWidth="1" style="6"/>
    <col min="5" max="5" width="34.000000" customWidth="1" style="6"/>
    <col min="6" max="6" width="12.000000" customWidth="1" style="6"/>
  </cols>
  <sheetData>
    <row r="1" spans="1:1">
      <c r="A1" s="7" t="s">
        <v>530</v>
      </c>
    </row>
    <row r="2" spans="1:6" ht="18" customHeight="1">
      <c r="A2" s="8" t="s">
        <v>531</v>
      </c>
      <c r="B2" s="8"/>
      <c r="C2" s="8"/>
      <c r="D2" s="8"/>
      <c r="E2" s="8"/>
      <c r="F2" s="8"/>
    </row>
    <row r="4" spans="1:6" ht="18" customHeight="1">
      <c r="A4" s="12" t="s">
        <v>532</v>
      </c>
      <c r="B4" s="12" t="s">
        <v>533</v>
      </c>
      <c r="C4" s="12" t="s">
        <v>534</v>
      </c>
      <c r="D4" s="12" t="s">
        <v>535</v>
      </c>
      <c r="E4" s="12" t="s">
        <v>536</v>
      </c>
      <c r="F4" s="12" t="s">
        <v>537</v>
      </c>
    </row>
    <row r="5" spans="1:6" ht="33" customHeight="1">
      <c r="A5" s="14" t="s">
        <v>538</v>
      </c>
      <c r="B5" s="27" t="n">
        <v>1</v>
      </c>
      <c r="C5" s="13" t="s">
        <v>539</v>
      </c>
      <c r="D5" s="13" t="s">
        <v>540</v>
      </c>
      <c r="E5" s="13" t="s">
        <v>541</v>
      </c>
      <c r="F5" s="22"/>
    </row>
    <row r="6" spans="1:6" ht="33" customHeight="1">
      <c r="A6" s="14" t="s">
        <v>542</v>
      </c>
      <c r="B6" s="27" t="n">
        <v>1</v>
      </c>
      <c r="C6" s="13" t="s">
        <v>543</v>
      </c>
      <c r="D6" s="13" t="s">
        <v>544</v>
      </c>
      <c r="E6" s="13" t="s">
        <v>545</v>
      </c>
      <c r="F6" s="22"/>
    </row>
    <row r="7" spans="1:6" ht="33" customHeight="1">
      <c r="A7" s="14" t="s">
        <v>546</v>
      </c>
      <c r="B7" s="27" t="n">
        <v>2</v>
      </c>
      <c r="C7" s="13" t="s">
        <v>547</v>
      </c>
      <c r="D7" s="13" t="s">
        <v>548</v>
      </c>
      <c r="E7" s="13" t="s">
        <v>549</v>
      </c>
      <c r="F7" s="22"/>
    </row>
    <row r="8" spans="1:6" ht="33" customHeight="1">
      <c r="A8" s="14" t="s">
        <v>550</v>
      </c>
      <c r="B8" s="27" t="n">
        <v>1.5</v>
      </c>
      <c r="C8" s="13" t="s">
        <v>551</v>
      </c>
      <c r="D8" s="13" t="s">
        <v>552</v>
      </c>
      <c r="E8" s="13" t="s">
        <v>553</v>
      </c>
      <c r="F8" s="22"/>
    </row>
    <row r="9" spans="1:6" ht="48" customHeight="1">
      <c r="A9" s="14" t="s">
        <v>554</v>
      </c>
      <c r="B9" s="27" t="n">
        <v>2</v>
      </c>
      <c r="C9" s="13" t="s">
        <v>555</v>
      </c>
      <c r="D9" s="13" t="s">
        <v>556</v>
      </c>
      <c r="E9" s="13" t="s">
        <v>557</v>
      </c>
      <c r="F9" s="22"/>
    </row>
    <row r="10" spans="1:6" ht="33" customHeight="1">
      <c r="A10" s="14" t="s">
        <v>558</v>
      </c>
      <c r="B10" s="27" t="n">
        <v>1</v>
      </c>
      <c r="C10" s="13" t="s">
        <v>559</v>
      </c>
      <c r="D10" s="13" t="s">
        <v>560</v>
      </c>
      <c r="E10" s="13" t="s">
        <v>561</v>
      </c>
      <c r="F10" s="22"/>
    </row>
    <row r="11" spans="1:6" ht="48" customHeight="1">
      <c r="A11" s="14" t="s">
        <v>562</v>
      </c>
      <c r="B11" s="27" t="n">
        <v>1.5</v>
      </c>
      <c r="C11" s="13" t="s">
        <v>563</v>
      </c>
      <c r="D11" s="13" t="s">
        <v>564</v>
      </c>
      <c r="E11" s="13" t="s">
        <v>565</v>
      </c>
      <c r="F11" s="22"/>
    </row>
    <row r="12" spans="1:6" ht="18" customHeight="1">
      <c r="A12" s="14" t="s">
        <v>203</v>
      </c>
      <c r="B12" s="28">
        <f>SUM(B5:B11)</f>
        <v>10</v>
      </c>
      <c r="F12" s="29" t="str">
        <f>IF(COUNT(F5:F11)=0,"",SUM(F5:F11))</f>
        <v/>
      </c>
    </row>
  </sheetData>
  <sheetProtection password="C716" sheet="1" autoFilter="0"/>
  <mergeCells count="1">
    <mergeCell ref="A2:F2"/>
  </mergeCells>
  <printOptions>
    <extLst>
      <ext uri="smNativeData">
        <pm:pageFlags xmlns:pm="smNativeData" id="1792144992" printRowHead="0" printColHead="0" printHeadLine="1" printFootLine="1" autoHeightHeader="0" autoHeightFooter="0" fitToPageBoth="1"/>
      </ext>
    </extLst>
  </printOptions>
  <pageMargins left="0.750000" right="0.750000" top="1.000000" bottom="1.000000" header="0.511806" footer="0.511806"/>
  <pageSetup paperSize="9" fitToWidth="1" fitToHeight="0" orientation="landscape" cellComments="asDisplayed"/>
  <headerFooter>
    <extLst>
      <ext uri="smNativeData">
        <pm:header xmlns:pm="smNativeData" id="1792144992" l="56" r="56" t="56" b="56" borderId="0" fillId="0" vertical="0"/>
        <pm:footer xmlns:pm="smNativeData" id="1792144992" l="56" r="56" t="56" b="56" borderId="0" fillId="0" vertical="2"/>
        <pm:paperBin xmlns:pm="smNativeData" id="1792144992" Id="0" type="0" value="0"/>
        <pm:paperBin xmlns:pm="smNativeData" id="1792144992" Id="1" type="0" value="0"/>
      </ext>
    </extLst>
  </headerFooter>
  <extLst>
    <ext uri="smNativeData">
      <pm:sheetPrefs xmlns:pm="smNativeData" day="1792144992" outlineProtect="1" showHorizontalRuler="1" showVerticalRuler="1" showAltShade="0">
        <pm:shade id="0" type="0" fgLvl="100" fgClr="000000" bgLvl="100" bgClr="FFFFFF"/>
        <pm:shade id="1" type="0" fgLvl="100" fgClr="000000" bgLvl="100" bgClr="FFFFFF"/>
      </pm:sheetPrefs>
    </ext>
  </extLst>
</worksheet>
</file>

<file path=xl/worksheets/sheet10.xml><?xml version="1.0" encoding="utf-8"?>
<worksheet xmlns="http://schemas.openxmlformats.org/spreadsheetml/2006/main" xmlns:r="http://schemas.openxmlformats.org/officeDocument/2006/relationships" xmlns:mc="http://schemas.openxmlformats.org/markup-compatibility/2006">
  <sheetPr>
    <pageSetUpPr fitToPage="1"/>
  </sheetPr>
  <dimension ref="A1:D17"/>
  <sheetViews>
    <sheetView view="normal" workbookViewId="0">
      <selection activeCell="A1" sqref="A1"/>
    </sheetView>
  </sheetViews>
  <sheetFormatPr defaultRowHeight="15.40"/>
  <cols>
    <col min="1" max="1" width="12.000000" customWidth="1" style="6"/>
    <col min="2" max="2" width="52.000000" customWidth="1" style="6"/>
    <col min="3" max="3" width="14.000000" customWidth="1" style="6"/>
    <col min="4" max="4" width="12.000000" customWidth="1" style="6"/>
  </cols>
  <sheetData>
    <row r="1" spans="1:1">
      <c r="A1" s="7" t="s">
        <v>566</v>
      </c>
    </row>
    <row r="3" spans="1:4" ht="18" customHeight="1">
      <c r="A3" s="12" t="s">
        <v>567</v>
      </c>
      <c r="B3" s="12" t="s">
        <v>12</v>
      </c>
      <c r="C3" s="12" t="s">
        <v>230</v>
      </c>
      <c r="D3" s="12" t="s">
        <v>568</v>
      </c>
    </row>
    <row r="4" spans="1:4" ht="18" customHeight="1">
      <c r="A4" s="14" t="s">
        <v>23</v>
      </c>
      <c r="B4" s="13" t="s">
        <v>24</v>
      </c>
      <c r="C4" s="24">
        <f>'Bài 1'!C29</f>
        <v>9</v>
      </c>
      <c r="D4" s="30" t="n">
        <v>9</v>
      </c>
    </row>
    <row r="5" spans="1:4" ht="18" customHeight="1">
      <c r="A5" s="14" t="s">
        <v>29</v>
      </c>
      <c r="B5" s="13" t="s">
        <v>30</v>
      </c>
      <c r="C5" s="24">
        <f>'Bài 2'!C25</f>
        <v>14</v>
      </c>
      <c r="D5" s="30" t="n">
        <v>14</v>
      </c>
    </row>
    <row r="6" spans="1:4" ht="18" customHeight="1">
      <c r="A6" s="14" t="s">
        <v>38</v>
      </c>
      <c r="B6" s="13" t="s">
        <v>39</v>
      </c>
      <c r="C6" s="24">
        <f>'Bài 3'!C39</f>
        <v>9</v>
      </c>
      <c r="D6" s="30" t="n">
        <v>9</v>
      </c>
    </row>
    <row r="7" spans="1:4" ht="18" customHeight="1">
      <c r="A7" s="14" t="s">
        <v>43</v>
      </c>
      <c r="B7" s="13" t="s">
        <v>44</v>
      </c>
      <c r="C7" s="24">
        <f>'Bài 4'!C33</f>
        <v>15</v>
      </c>
      <c r="D7" s="30" t="n">
        <v>15</v>
      </c>
    </row>
    <row r="8" spans="1:4" ht="18" customHeight="1">
      <c r="A8" s="14" t="s">
        <v>49</v>
      </c>
      <c r="B8" s="13" t="s">
        <v>50</v>
      </c>
      <c r="C8" s="24">
        <f>'Bài 5'!C44</f>
        <v>18</v>
      </c>
      <c r="D8" s="30" t="n">
        <v>18</v>
      </c>
    </row>
    <row r="10" spans="1:4" ht="18" customHeight="1">
      <c r="A10" s="23" t="s">
        <v>569</v>
      </c>
      <c r="B10" s="23"/>
      <c r="C10" s="23"/>
      <c r="D10" s="23"/>
    </row>
    <row r="11" spans="1:3" ht="18" customHeight="1">
      <c r="A11" s="14" t="s">
        <v>538</v>
      </c>
      <c r="B11" s="13" t="s">
        <v>570</v>
      </c>
      <c r="C11" s="31" t="str">
        <f>Xưởng!G7</f>
        <v>Đạt</v>
      </c>
    </row>
    <row r="12" spans="1:3" ht="18" customHeight="1">
      <c r="A12" s="14" t="s">
        <v>542</v>
      </c>
      <c r="B12" s="13" t="s">
        <v>571</v>
      </c>
      <c r="C12" s="31" t="str">
        <f>Xưởng!D20</f>
        <v>Đạt</v>
      </c>
    </row>
    <row r="13" spans="1:3" ht="18" customHeight="1">
      <c r="A13" s="14" t="s">
        <v>546</v>
      </c>
      <c r="B13" s="13" t="s">
        <v>572</v>
      </c>
      <c r="C13" s="31" t="str">
        <f>Xưởng!C36</f>
        <v>Đạt</v>
      </c>
    </row>
    <row r="14" spans="1:4" ht="18" customHeight="1">
      <c r="A14" s="14" t="s">
        <v>550</v>
      </c>
      <c r="B14" s="13" t="s">
        <v>573</v>
      </c>
      <c r="C14" s="24">
        <f>COUNTIF(Xưởng!F56:G58,"Đúng")</f>
        <v>6</v>
      </c>
      <c r="D14" s="13" t="s">
        <v>574</v>
      </c>
    </row>
    <row r="15" spans="1:3" ht="18" customHeight="1">
      <c r="A15" s="14" t="s">
        <v>554</v>
      </c>
      <c r="B15" s="13" t="s">
        <v>575</v>
      </c>
      <c r="C15" s="31" t="str">
        <f>Xưởng!C67</f>
        <v>Đạt</v>
      </c>
    </row>
    <row r="16" spans="1:4" ht="18" customHeight="1">
      <c r="A16" s="14" t="s">
        <v>558</v>
      </c>
      <c r="B16" s="13" t="s">
        <v>576</v>
      </c>
      <c r="C16" s="24">
        <f>COUNTIF(Xưởng!G72:G84,"Đúng")</f>
        <v>5</v>
      </c>
      <c r="D16" s="13" t="s">
        <v>577</v>
      </c>
    </row>
    <row r="17" spans="1:4" ht="18" customHeight="1">
      <c r="A17" s="14" t="s">
        <v>562</v>
      </c>
      <c r="B17" s="13" t="s">
        <v>578</v>
      </c>
      <c r="C17" s="24">
        <f>COUNTIF(Xưởng!D105:D112,"Đúng")</f>
        <v>4</v>
      </c>
      <c r="D17" s="13" t="s">
        <v>579</v>
      </c>
    </row>
  </sheetData>
  <sheetProtection password="C716" sheet="1" autoFilter="0"/>
  <mergeCells count="1">
    <mergeCell ref="A10:D10"/>
  </mergeCells>
  <printOptions>
    <extLst>
      <ext uri="smNativeData">
        <pm:pageFlags xmlns:pm="smNativeData" id="1792144992" printRowHead="0" printColHead="0" printHeadLine="1" printFootLine="1" autoHeightHeader="0" autoHeightFooter="0" fitToPageBoth="1"/>
      </ext>
    </extLst>
  </printOptions>
  <pageMargins left="0.750000" right="0.750000" top="1.000000" bottom="1.000000" header="0.511806" footer="0.511806"/>
  <pageSetup paperSize="9" fitToWidth="1" fitToHeight="0" orientation="landscape" cellComments="asDisplayed"/>
  <headerFooter>
    <extLst>
      <ext uri="smNativeData">
        <pm:header xmlns:pm="smNativeData" id="1792144992" l="56" r="56" t="56" b="56" borderId="0" fillId="0" vertical="0"/>
        <pm:footer xmlns:pm="smNativeData" id="1792144992" l="56" r="56" t="56" b="56" borderId="0" fillId="0" vertical="2"/>
        <pm:paperBin xmlns:pm="smNativeData" id="1792144992" Id="0" type="0" value="0"/>
        <pm:paperBin xmlns:pm="smNativeData" id="1792144992" Id="1" type="0" value="0"/>
      </ext>
    </extLst>
  </headerFooter>
  <extLst>
    <ext uri="smNativeData">
      <pm:sheetPrefs xmlns:pm="smNativeData" day="1792144992" outlineProtect="1" showHorizontalRuler="1" showVerticalRuler="1" showAltShade="0">
        <pm:shade id="0" type="0" fgLvl="100" fgClr="000000" bgLvl="100" bgClr="FFFFFF"/>
        <pm:shade id="1" type="0" fgLvl="100" fgClr="000000" bgLvl="100" bgClr="FFFFFF"/>
      </pm:sheetPrefs>
    </ext>
  </extLst>
</worksheet>
</file>

<file path=xl/worksheets/sheet11.xml><?xml version="1.0" encoding="utf-8"?>
<worksheet xmlns="http://schemas.openxmlformats.org/spreadsheetml/2006/main" xmlns:r="http://schemas.openxmlformats.org/officeDocument/2006/relationships" xmlns:mc="http://schemas.openxmlformats.org/markup-compatibility/2006">
  <sheetPr>
    <pageSetUpPr fitToPage="1"/>
  </sheetPr>
  <dimension ref="A1:N5"/>
  <sheetViews>
    <sheetView view="normal" workbookViewId="0">
      <selection activeCell="A1" sqref="A1"/>
    </sheetView>
  </sheetViews>
  <sheetFormatPr defaultRowHeight="15.40"/>
  <sheetData>
    <row r="1" spans="1:14">
      <c r="A1" s="6" t="s">
        <v>580</v>
      </c>
      <c r="B1" s="6" t="s">
        <v>581</v>
      </c>
      <c r="C1" s="6" t="s">
        <v>582</v>
      </c>
      <c r="D1" s="6" t="s">
        <v>583</v>
      </c>
      <c r="E1" s="6" t="s">
        <v>584</v>
      </c>
      <c r="F1" s="6" t="s">
        <v>103</v>
      </c>
      <c r="G1" s="6" t="s">
        <v>585</v>
      </c>
      <c r="H1" s="6" t="s">
        <v>508</v>
      </c>
      <c r="I1" s="6" t="s">
        <v>586</v>
      </c>
      <c r="J1" s="6" t="s">
        <v>587</v>
      </c>
      <c r="K1" s="6" t="s">
        <v>588</v>
      </c>
      <c r="L1" s="6" t="s">
        <v>589</v>
      </c>
      <c r="M1" s="6" t="s">
        <v>590</v>
      </c>
      <c r="N1" s="6" t="s">
        <v>508</v>
      </c>
    </row>
    <row r="2" spans="1:14">
      <c r="A2" s="6" t="s">
        <v>591</v>
      </c>
      <c r="B2" s="6" t="s">
        <v>592</v>
      </c>
      <c r="C2" s="6" t="s">
        <v>593</v>
      </c>
      <c r="D2" s="6" t="s">
        <v>594</v>
      </c>
      <c r="E2" s="6" t="s">
        <v>595</v>
      </c>
      <c r="F2" s="6" t="s">
        <v>105</v>
      </c>
      <c r="G2" s="6" t="s">
        <v>596</v>
      </c>
      <c r="H2" s="6" t="s">
        <v>383</v>
      </c>
      <c r="I2" s="6" t="s">
        <v>597</v>
      </c>
      <c r="J2" s="6" t="s">
        <v>598</v>
      </c>
      <c r="K2" s="6" t="s">
        <v>599</v>
      </c>
      <c r="L2" s="6" t="s">
        <v>600</v>
      </c>
      <c r="M2" s="6" t="s">
        <v>601</v>
      </c>
      <c r="N2" s="6" t="s">
        <v>383</v>
      </c>
    </row>
    <row r="3" spans="2:14">
      <c r="B3" s="6" t="s">
        <v>602</v>
      </c>
      <c r="C3" s="6" t="s">
        <v>603</v>
      </c>
      <c r="D3" s="6" t="s">
        <v>604</v>
      </c>
      <c r="E3" s="6" t="s">
        <v>605</v>
      </c>
      <c r="F3" s="6" t="s">
        <v>107</v>
      </c>
      <c r="G3" s="6" t="s">
        <v>606</v>
      </c>
      <c r="H3" s="6" t="s">
        <v>607</v>
      </c>
      <c r="I3" s="6" t="s">
        <v>608</v>
      </c>
      <c r="J3" s="6" t="s">
        <v>609</v>
      </c>
      <c r="K3" s="6" t="s">
        <v>610</v>
      </c>
      <c r="N3" s="6" t="s">
        <v>607</v>
      </c>
    </row>
    <row r="4" spans="6:14">
      <c r="F4" s="6" t="s">
        <v>110</v>
      </c>
      <c r="N4" s="6" t="s">
        <v>611</v>
      </c>
    </row>
    <row r="5" spans="6:6">
      <c r="F5" s="6" t="s">
        <v>113</v>
      </c>
    </row>
  </sheetData>
  <sheetProtection password="C716" sheet="1" autoFilter="0"/>
  <printOptions>
    <extLst>
      <ext uri="smNativeData">
        <pm:pageFlags xmlns:pm="smNativeData" id="1792144992" printRowHead="0" printColHead="0" printHeadLine="1" printFootLine="1" autoHeightHeader="0" autoHeightFooter="0" fitToPageBoth="1"/>
      </ext>
    </extLst>
  </printOptions>
  <pageMargins left="0.750000" right="0.750000" top="1.000000" bottom="1.000000" header="0.511806" footer="0.511806"/>
  <pageSetup paperSize="9" fitToWidth="1" fitToHeight="0" orientation="landscape" cellComments="asDisplayed"/>
  <headerFooter>
    <extLst>
      <ext uri="smNativeData">
        <pm:header xmlns:pm="smNativeData" id="1792144992" l="56" r="56" t="56" b="56" borderId="0" fillId="0" vertical="0"/>
        <pm:footer xmlns:pm="smNativeData" id="1792144992" l="56" r="56" t="56" b="56" borderId="0" fillId="0" vertical="2"/>
        <pm:paperBin xmlns:pm="smNativeData" id="1792144992" Id="0" type="0" value="0"/>
        <pm:paperBin xmlns:pm="smNativeData" id="1792144992" Id="1" type="0" value="0"/>
      </ext>
    </extLst>
  </headerFooter>
  <extLst>
    <ext uri="smNativeData">
      <pm:sheetPrefs xmlns:pm="smNativeData" day="1792144992"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Vxtor</cp:lastModifiedBy>
  <cp:revision>0</cp:revision>
  <dcterms:created xsi:type="dcterms:W3CDTF">2026-10-14T16:05:47Z</dcterms:created>
  <dcterms:modified xsi:type="dcterms:W3CDTF">2026-10-16T10:03:12Z</dcterms:modified>
</cp:coreProperties>
</file>